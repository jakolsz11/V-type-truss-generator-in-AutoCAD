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olsza\OneDrive\Pulpit\Studia\Semestr 5\Konstrukcje Metalowe\Metal rysunek wiązara automatyzacja\"/>
    </mc:Choice>
  </mc:AlternateContent>
  <xr:revisionPtr revIDLastSave="0" documentId="13_ncr:1_{102D8603-C419-4001-8101-98DF0305ACA7}" xr6:coauthVersionLast="47" xr6:coauthVersionMax="47" xr10:uidLastSave="{00000000-0000-0000-0000-000000000000}"/>
  <bookViews>
    <workbookView xWindow="-120" yWindow="-120" windowWidth="38640" windowHeight="15720" xr2:uid="{BD05EB60-68D8-42C4-AC6B-802F3EB210AF}"/>
  </bookViews>
  <sheets>
    <sheet name="Parametry" sheetId="1" r:id="rId1"/>
    <sheet name="Przekroje" sheetId="4" r:id="rId2"/>
    <sheet name="Obliczenia i dane" sheetId="3" r:id="rId3"/>
    <sheet name="Dane AutoCad" sheetId="2" r:id="rId4"/>
  </sheets>
  <definedNames>
    <definedName name="_xleta.SUM" hidden="1" xlm="1">#NAME?</definedName>
    <definedName name="_xlnm.Print_Area" localSheetId="3">'Dane AutoCad'!$R$76:$AF$78</definedName>
    <definedName name="solver_adj" localSheetId="2" hidden="1">'Obliczenia i dane'!$N$26</definedName>
    <definedName name="solver_cvg" localSheetId="2" hidden="1">0.0001</definedName>
    <definedName name="solver_drv" localSheetId="2" hidden="1">2</definedName>
    <definedName name="solver_eng" localSheetId="2" hidden="1">1</definedName>
    <definedName name="solver_eng" localSheetId="0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eg" localSheetId="0" hidden="1">1</definedName>
    <definedName name="solver_nod" localSheetId="2" hidden="1">2147483647</definedName>
    <definedName name="solver_num" localSheetId="2" hidden="1">0</definedName>
    <definedName name="solver_num" localSheetId="0" hidden="1">0</definedName>
    <definedName name="solver_nwt" localSheetId="2" hidden="1">1</definedName>
    <definedName name="solver_opt" localSheetId="2" hidden="1">'Obliczenia i dane'!$R$27</definedName>
    <definedName name="solver_pre" localSheetId="2" hidden="1">0.000001</definedName>
    <definedName name="solver_rbv" localSheetId="2" hidden="1">2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typ" localSheetId="0" hidden="1">1</definedName>
    <definedName name="solver_val" localSheetId="2" hidden="1">0</definedName>
    <definedName name="solver_val" localSheetId="0" hidden="1">0</definedName>
    <definedName name="solver_ver" localSheetId="2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33" i="3" l="1"/>
  <c r="J654" i="3"/>
  <c r="N654" i="3"/>
  <c r="I652" i="3"/>
  <c r="J651" i="3"/>
  <c r="N651" i="3"/>
  <c r="I651" i="3"/>
  <c r="L650" i="3"/>
  <c r="L649" i="3"/>
  <c r="M648" i="3"/>
  <c r="L648" i="3"/>
  <c r="I647" i="3"/>
  <c r="M646" i="3"/>
  <c r="L646" i="3"/>
  <c r="I645" i="3"/>
  <c r="N644" i="3"/>
  <c r="J644" i="3" s="1"/>
  <c r="J643" i="3"/>
  <c r="N643" i="3"/>
  <c r="I644" i="3"/>
  <c r="I643" i="3"/>
  <c r="L639" i="3"/>
  <c r="L638" i="3"/>
  <c r="L640" i="3" s="1"/>
  <c r="J637" i="3"/>
  <c r="J636" i="3"/>
  <c r="J635" i="3"/>
  <c r="J634" i="3"/>
  <c r="J633" i="3"/>
  <c r="I633" i="3"/>
  <c r="J627" i="3"/>
  <c r="H627" i="3" a="1"/>
  <c r="H627" i="3" s="1"/>
  <c r="K626" i="3"/>
  <c r="J623" i="3"/>
  <c r="H623" i="3" a="1"/>
  <c r="H623" i="3" s="1"/>
  <c r="K622" i="3"/>
  <c r="H625" i="3" s="1" a="1"/>
  <c r="H625" i="3" s="1"/>
  <c r="I610" i="3"/>
  <c r="H610" i="3"/>
  <c r="K609" i="3"/>
  <c r="H609" i="3"/>
  <c r="J610" i="3" s="1" a="1"/>
  <c r="J610" i="3" s="1"/>
  <c r="I601" i="3"/>
  <c r="K601" i="3" s="1"/>
  <c r="I600" i="3"/>
  <c r="K600" i="3" s="1"/>
  <c r="I599" i="3"/>
  <c r="K596" i="3"/>
  <c r="K597" i="3" s="1"/>
  <c r="H596" i="3" a="1"/>
  <c r="H596" i="3" s="1"/>
  <c r="J596" i="3" s="1"/>
  <c r="K595" i="3"/>
  <c r="J595" i="3"/>
  <c r="H597" i="3" s="1" a="1"/>
  <c r="H597" i="3" s="1"/>
  <c r="H589" i="3"/>
  <c r="K586" i="3"/>
  <c r="K587" i="3" s="1"/>
  <c r="J586" i="3"/>
  <c r="H586" i="3" a="1"/>
  <c r="H586" i="3" s="1"/>
  <c r="K585" i="3"/>
  <c r="J585" i="3"/>
  <c r="H583" i="3"/>
  <c r="I582" i="3"/>
  <c r="I583" i="3" s="1"/>
  <c r="H584" i="3" s="1" a="1"/>
  <c r="H584" i="3" s="1"/>
  <c r="H582" i="3"/>
  <c r="J583" i="3" s="1" a="1"/>
  <c r="J583" i="3" s="1"/>
  <c r="H581" i="3" a="1"/>
  <c r="H581" i="3" s="1"/>
  <c r="J581" i="3" s="1"/>
  <c r="K579" i="3"/>
  <c r="J579" i="3"/>
  <c r="M559" i="3"/>
  <c r="M563" i="3" s="1"/>
  <c r="H566" i="3" a="1"/>
  <c r="H566" i="3" s="1"/>
  <c r="J564" i="3"/>
  <c r="I563" i="3"/>
  <c r="H563" i="3"/>
  <c r="J566" i="3" s="1" a="1"/>
  <c r="J566" i="3" s="1"/>
  <c r="L559" i="3"/>
  <c r="K561" i="3"/>
  <c r="J560" i="3"/>
  <c r="J561" i="3" s="1"/>
  <c r="H562" i="3" s="1" a="1"/>
  <c r="H562" i="3" s="1"/>
  <c r="J559" i="3"/>
  <c r="H559" i="3"/>
  <c r="J562" i="3" s="1" a="1"/>
  <c r="J562" i="3" s="1"/>
  <c r="R524" i="3"/>
  <c r="R525" i="3"/>
  <c r="R526" i="3"/>
  <c r="R527" i="3"/>
  <c r="R528" i="3"/>
  <c r="R529" i="3"/>
  <c r="R530" i="3"/>
  <c r="R531" i="3"/>
  <c r="R532" i="3"/>
  <c r="R533" i="3"/>
  <c r="R523" i="3"/>
  <c r="Y528" i="3"/>
  <c r="Z528" i="3"/>
  <c r="Z527" i="3"/>
  <c r="Y527" i="3"/>
  <c r="Y529" i="3" s="1" a="1"/>
  <c r="Y529" i="3" s="1"/>
  <c r="X528" i="3"/>
  <c r="X529" i="3"/>
  <c r="X530" i="3"/>
  <c r="X527" i="3"/>
  <c r="R544" i="3"/>
  <c r="R545" i="3"/>
  <c r="R543" i="3"/>
  <c r="O534" i="3"/>
  <c r="X540" i="3"/>
  <c r="X539" i="3"/>
  <c r="X524" i="3"/>
  <c r="X525" i="3"/>
  <c r="X526" i="3"/>
  <c r="X523" i="3"/>
  <c r="Z526" i="3"/>
  <c r="Y526" i="3"/>
  <c r="Z525" i="3"/>
  <c r="Y525" i="3"/>
  <c r="Z524" i="3"/>
  <c r="Y524" i="3"/>
  <c r="Z523" i="3"/>
  <c r="Y523" i="3"/>
  <c r="Q530" i="3"/>
  <c r="O532" i="3" s="1"/>
  <c r="Q528" i="3"/>
  <c r="Q522" i="3"/>
  <c r="O523" i="3" s="1"/>
  <c r="O524" i="3" s="1"/>
  <c r="N522" i="3"/>
  <c r="P533" i="3" s="1" a="1"/>
  <c r="P533" i="3" s="1"/>
  <c r="R493" i="3"/>
  <c r="R494" i="3"/>
  <c r="R495" i="3"/>
  <c r="R497" i="3" s="1"/>
  <c r="R492" i="3"/>
  <c r="R489" i="3"/>
  <c r="R490" i="3"/>
  <c r="R488" i="3"/>
  <c r="W487" i="3"/>
  <c r="X487" i="3"/>
  <c r="Y487" i="3"/>
  <c r="Z487" i="3"/>
  <c r="V487" i="3"/>
  <c r="X486" i="3"/>
  <c r="X485" i="3"/>
  <c r="N483" i="3"/>
  <c r="P483" i="3" s="1"/>
  <c r="X406" i="3"/>
  <c r="X407" i="3"/>
  <c r="X408" i="3"/>
  <c r="X405" i="3"/>
  <c r="AC378" i="3"/>
  <c r="AC379" i="3"/>
  <c r="AC377" i="3"/>
  <c r="R357" i="3"/>
  <c r="R358" i="3"/>
  <c r="R356" i="3"/>
  <c r="AB377" i="3"/>
  <c r="AA377" i="3"/>
  <c r="AB376" i="3"/>
  <c r="AA376" i="3"/>
  <c r="AB378" i="3"/>
  <c r="AA378" i="3"/>
  <c r="AB379" i="3"/>
  <c r="AA379" i="3"/>
  <c r="R361" i="3"/>
  <c r="R362" i="3"/>
  <c r="R363" i="3"/>
  <c r="R364" i="3"/>
  <c r="R365" i="3"/>
  <c r="R366" i="3"/>
  <c r="R367" i="3"/>
  <c r="R368" i="3"/>
  <c r="R369" i="3"/>
  <c r="R370" i="3"/>
  <c r="R360" i="3"/>
  <c r="R343" i="3"/>
  <c r="R342" i="3"/>
  <c r="R341" i="3"/>
  <c r="R337" i="3"/>
  <c r="R338" i="3"/>
  <c r="R339" i="3"/>
  <c r="R335" i="3"/>
  <c r="R334" i="3"/>
  <c r="R333" i="3"/>
  <c r="R327" i="3"/>
  <c r="R326" i="3"/>
  <c r="R325" i="3"/>
  <c r="X325" i="3"/>
  <c r="X324" i="3"/>
  <c r="N322" i="3"/>
  <c r="N324" i="3" s="1"/>
  <c r="J588" i="3" l="1" a="1"/>
  <c r="J588" i="3" s="1"/>
  <c r="H611" i="3" a="1"/>
  <c r="H611" i="3" s="1"/>
  <c r="V414" i="3"/>
  <c r="V415" i="3"/>
  <c r="Y530" i="3" a="1"/>
  <c r="Y530" i="3" s="1"/>
  <c r="K623" i="3"/>
  <c r="H624" i="3" s="1" a="1"/>
  <c r="H624" i="3" s="1"/>
  <c r="J624" i="3" s="1"/>
  <c r="J625" i="3" s="1" a="1"/>
  <c r="J625" i="3" s="1"/>
  <c r="K624" i="3"/>
  <c r="R496" i="3"/>
  <c r="R498" i="3"/>
  <c r="H598" i="3" a="1"/>
  <c r="H598" i="3" s="1"/>
  <c r="H587" i="3" a="1"/>
  <c r="H587" i="3" s="1"/>
  <c r="J587" i="3" s="1"/>
  <c r="P522" i="3"/>
  <c r="P534" i="3" s="1"/>
  <c r="J563" i="3"/>
  <c r="O531" i="3"/>
  <c r="Q531" i="3" s="1"/>
  <c r="H580" i="3" a="1"/>
  <c r="W593" i="3"/>
  <c r="W594" i="3"/>
  <c r="J589" i="3"/>
  <c r="H588" i="3" a="1"/>
  <c r="H580" i="3"/>
  <c r="J580" i="3" s="1"/>
  <c r="K580" i="3"/>
  <c r="K581" i="3" s="1"/>
  <c r="J582" i="3" s="1" a="1"/>
  <c r="J582" i="3" s="1"/>
  <c r="J597" i="3"/>
  <c r="J598" i="3" s="1" a="1"/>
  <c r="H599" i="3"/>
  <c r="Q524" i="3"/>
  <c r="Q526" i="3"/>
  <c r="N523" i="3"/>
  <c r="N524" i="3" s="1"/>
  <c r="N487" i="3"/>
  <c r="N488" i="3" s="1"/>
  <c r="V492" i="3"/>
  <c r="Q534" i="3"/>
  <c r="P523" i="3" a="1"/>
  <c r="P523" i="3" s="1"/>
  <c r="P527" i="3" s="1"/>
  <c r="N535" i="3"/>
  <c r="H590" i="3"/>
  <c r="P559" i="3" a="1"/>
  <c r="P559" i="3" s="1"/>
  <c r="N499" i="3"/>
  <c r="V494" i="3"/>
  <c r="W525" i="3"/>
  <c r="W526" i="3" s="1"/>
  <c r="N491" i="3"/>
  <c r="P491" i="3" s="1"/>
  <c r="N493" i="3" s="1"/>
  <c r="P493" i="3" s="1"/>
  <c r="P495" i="3" s="1"/>
  <c r="N497" i="3" s="1"/>
  <c r="P497" i="3" s="1"/>
  <c r="L563" i="3"/>
  <c r="W351" i="3"/>
  <c r="N351" i="3" s="1"/>
  <c r="W352" i="3"/>
  <c r="W358" i="3" s="1"/>
  <c r="P332" i="3"/>
  <c r="P333" i="3" s="1"/>
  <c r="N335" i="3" s="1"/>
  <c r="P335" i="3" s="1"/>
  <c r="AC360" i="3"/>
  <c r="P355" i="3"/>
  <c r="N390" i="3"/>
  <c r="N391" i="3" s="1"/>
  <c r="P391" i="3" s="1"/>
  <c r="P392" i="3" s="1"/>
  <c r="P393" i="3" s="1"/>
  <c r="P394" i="3" s="1"/>
  <c r="P395" i="3" s="1"/>
  <c r="N397" i="3" s="1"/>
  <c r="P397" i="3" s="1"/>
  <c r="P328" i="3"/>
  <c r="P329" i="3" s="1"/>
  <c r="N331" i="3" s="1"/>
  <c r="P331" i="3" s="1"/>
  <c r="P405" i="3"/>
  <c r="P400" i="3" s="1"/>
  <c r="P406" i="3"/>
  <c r="P401" i="3" s="1"/>
  <c r="N355" i="3"/>
  <c r="N385" i="3"/>
  <c r="P385" i="3" s="1"/>
  <c r="N323" i="3"/>
  <c r="N328" i="3"/>
  <c r="N329" i="3" s="1"/>
  <c r="N330" i="3" s="1"/>
  <c r="P330" i="3" s="1"/>
  <c r="N332" i="3"/>
  <c r="N333" i="3" s="1"/>
  <c r="N334" i="3" s="1"/>
  <c r="P334" i="3" s="1"/>
  <c r="P322" i="3"/>
  <c r="N340" i="3"/>
  <c r="P346" i="3" s="1"/>
  <c r="N341" i="3"/>
  <c r="P341" i="3" s="1"/>
  <c r="P347" i="3" s="1"/>
  <c r="P323" i="3"/>
  <c r="N346" i="3"/>
  <c r="N347" i="3"/>
  <c r="N325" i="3"/>
  <c r="P325" i="3" s="1"/>
  <c r="P324" i="3"/>
  <c r="S225" i="3"/>
  <c r="Y4" i="1"/>
  <c r="Z4" i="1"/>
  <c r="AA4" i="1"/>
  <c r="AB4" i="1"/>
  <c r="X4" i="1"/>
  <c r="Z227" i="3"/>
  <c r="O292" i="3"/>
  <c r="M287" i="3"/>
  <c r="O287" i="3" s="1"/>
  <c r="M273" i="3"/>
  <c r="O273" i="3" s="1"/>
  <c r="O272" i="3"/>
  <c r="N270" i="3"/>
  <c r="N271" i="3" s="1"/>
  <c r="M270" i="3"/>
  <c r="M285" i="3" s="1"/>
  <c r="M263" i="3" a="1"/>
  <c r="P263" i="3" s="1"/>
  <c r="M262" i="3" a="1"/>
  <c r="P262" i="3" s="1"/>
  <c r="J43" i="1"/>
  <c r="I43" i="1"/>
  <c r="H43" i="1"/>
  <c r="G43" i="1"/>
  <c r="F43" i="1"/>
  <c r="E36" i="1"/>
  <c r="I642" i="3" s="1"/>
  <c r="X23" i="4"/>
  <c r="X24" i="4"/>
  <c r="X25" i="4"/>
  <c r="J36" i="1" s="1"/>
  <c r="W297" i="3" s="1"/>
  <c r="X26" i="4"/>
  <c r="X27" i="4"/>
  <c r="X28" i="4"/>
  <c r="X29" i="4"/>
  <c r="X30" i="4"/>
  <c r="X31" i="4"/>
  <c r="W23" i="4"/>
  <c r="W24" i="4"/>
  <c r="W25" i="4"/>
  <c r="W26" i="4"/>
  <c r="W27" i="4"/>
  <c r="W28" i="4"/>
  <c r="W29" i="4"/>
  <c r="W30" i="4"/>
  <c r="W31" i="4"/>
  <c r="V23" i="4"/>
  <c r="V24" i="4"/>
  <c r="V25" i="4"/>
  <c r="V26" i="4"/>
  <c r="V27" i="4"/>
  <c r="V28" i="4"/>
  <c r="V29" i="4"/>
  <c r="H36" i="1" s="1"/>
  <c r="V30" i="4"/>
  <c r="V31" i="4"/>
  <c r="U23" i="4"/>
  <c r="U24" i="4"/>
  <c r="U25" i="4"/>
  <c r="U26" i="4"/>
  <c r="U27" i="4"/>
  <c r="U28" i="4"/>
  <c r="U29" i="4"/>
  <c r="U30" i="4"/>
  <c r="U31" i="4"/>
  <c r="T23" i="4"/>
  <c r="T24" i="4"/>
  <c r="T25" i="4"/>
  <c r="T26" i="4"/>
  <c r="T27" i="4"/>
  <c r="T28" i="4"/>
  <c r="T29" i="4"/>
  <c r="T30" i="4"/>
  <c r="T31" i="4"/>
  <c r="X22" i="4"/>
  <c r="W22" i="4"/>
  <c r="V22" i="4"/>
  <c r="U22" i="4"/>
  <c r="T22" i="4"/>
  <c r="V215" i="3"/>
  <c r="J598" i="3" l="1"/>
  <c r="K599" i="3"/>
  <c r="W357" i="3"/>
  <c r="N536" i="3"/>
  <c r="N537" i="3" s="1"/>
  <c r="P537" i="3" s="1"/>
  <c r="P535" i="3"/>
  <c r="N495" i="3"/>
  <c r="N496" i="3" s="1"/>
  <c r="P496" i="3" s="1"/>
  <c r="N352" i="3"/>
  <c r="N516" i="3"/>
  <c r="P516" i="3" s="1"/>
  <c r="V495" i="3"/>
  <c r="P515" i="3"/>
  <c r="N515" i="3"/>
  <c r="N512" i="3"/>
  <c r="P512" i="3" s="1"/>
  <c r="P511" i="3"/>
  <c r="N511" i="3"/>
  <c r="V493" i="3"/>
  <c r="J584" i="3" a="1"/>
  <c r="J584" i="3" s="1"/>
  <c r="H588" i="3"/>
  <c r="I589" i="3"/>
  <c r="N525" i="3"/>
  <c r="P524" i="3"/>
  <c r="N526" i="3" s="1"/>
  <c r="P526" i="3" s="1"/>
  <c r="N527" i="3" s="1" a="1"/>
  <c r="H591" i="3"/>
  <c r="V593" i="3"/>
  <c r="V594" i="3" s="1"/>
  <c r="J599" i="3"/>
  <c r="H600" i="3"/>
  <c r="H601" i="3" s="1"/>
  <c r="J600" i="3"/>
  <c r="J601" i="3" s="1"/>
  <c r="N503" i="3"/>
  <c r="P503" i="3" s="1"/>
  <c r="P499" i="3"/>
  <c r="N507" i="3" s="1"/>
  <c r="P507" i="3" s="1"/>
  <c r="O525" i="3"/>
  <c r="Q525" i="3" s="1"/>
  <c r="O526" i="3"/>
  <c r="W523" i="3"/>
  <c r="W524" i="3" s="1"/>
  <c r="P563" i="3" a="1"/>
  <c r="P563" i="3" s="1"/>
  <c r="N392" i="3"/>
  <c r="N393" i="3" s="1"/>
  <c r="N394" i="3" s="1"/>
  <c r="P390" i="3"/>
  <c r="N377" i="3"/>
  <c r="P377" i="3" s="1"/>
  <c r="P375" i="3"/>
  <c r="N375" i="3"/>
  <c r="P340" i="3"/>
  <c r="I36" i="1"/>
  <c r="W298" i="3" s="1"/>
  <c r="G36" i="1"/>
  <c r="F36" i="1"/>
  <c r="O289" i="3"/>
  <c r="M288" i="3"/>
  <c r="O288" i="3" s="1"/>
  <c r="M263" i="3"/>
  <c r="O263" i="3" s="1"/>
  <c r="M265" i="3" s="1" a="1"/>
  <c r="M265" i="3" s="1"/>
  <c r="O285" i="3"/>
  <c r="M286" i="3"/>
  <c r="O286" i="3" s="1"/>
  <c r="O270" i="3"/>
  <c r="M262" i="3"/>
  <c r="O262" i="3" s="1"/>
  <c r="M264" i="3" s="1" a="1"/>
  <c r="M271" i="3"/>
  <c r="O271" i="3" s="1"/>
  <c r="W296" i="3"/>
  <c r="F8" i="3"/>
  <c r="J29" i="1"/>
  <c r="I29" i="1"/>
  <c r="H29" i="1"/>
  <c r="S262" i="3" s="1"/>
  <c r="S261" i="3" s="1"/>
  <c r="G29" i="1"/>
  <c r="F29" i="1"/>
  <c r="R231" i="3"/>
  <c r="R232" i="3" s="1"/>
  <c r="M234" i="3"/>
  <c r="O234" i="3" s="1"/>
  <c r="O225" i="3"/>
  <c r="S226" i="3"/>
  <c r="P236" i="3" s="1"/>
  <c r="P251" i="3"/>
  <c r="O256" i="3"/>
  <c r="M251" i="3"/>
  <c r="O253" i="3" s="1"/>
  <c r="M237" i="3"/>
  <c r="O237" i="3" s="1"/>
  <c r="O236" i="3"/>
  <c r="N234" i="3"/>
  <c r="N235" i="3" s="1"/>
  <c r="M227" i="3" a="1"/>
  <c r="M227" i="3" s="1"/>
  <c r="O227" i="3" s="1"/>
  <c r="O221" i="3"/>
  <c r="M216" i="3"/>
  <c r="O218" i="3" s="1"/>
  <c r="M202" i="3"/>
  <c r="O202" i="3" s="1"/>
  <c r="O201" i="3"/>
  <c r="N199" i="3"/>
  <c r="N200" i="3" s="1"/>
  <c r="M199" i="3"/>
  <c r="M214" i="3" s="1"/>
  <c r="M215" i="3" s="1"/>
  <c r="O215" i="3" s="1"/>
  <c r="M192" i="3" a="1"/>
  <c r="M192" i="3" s="1"/>
  <c r="O192" i="3" s="1"/>
  <c r="M191" i="3" a="1"/>
  <c r="M191" i="3" s="1"/>
  <c r="O191" i="3" s="1"/>
  <c r="P536" i="3" l="1"/>
  <c r="N514" i="3"/>
  <c r="P514" i="3" s="1"/>
  <c r="P513" i="3"/>
  <c r="N513" i="3"/>
  <c r="N527" i="3"/>
  <c r="Q527" i="3"/>
  <c r="N528" i="3" s="1" a="1"/>
  <c r="N528" i="3" s="1"/>
  <c r="P528" i="3" s="1"/>
  <c r="N518" i="3"/>
  <c r="P518" i="3" s="1"/>
  <c r="P517" i="3"/>
  <c r="N517" i="3"/>
  <c r="M226" i="3" a="1"/>
  <c r="P226" i="3" s="1"/>
  <c r="P265" i="3"/>
  <c r="P270" i="3" s="1"/>
  <c r="P271" i="3" s="1"/>
  <c r="I590" i="3"/>
  <c r="K589" i="3"/>
  <c r="J591" i="3" s="1" a="1"/>
  <c r="J591" i="3" s="1"/>
  <c r="J590" i="3" a="1"/>
  <c r="J590" i="3" s="1"/>
  <c r="P525" i="3"/>
  <c r="V523" i="3"/>
  <c r="O216" i="3"/>
  <c r="O199" i="3"/>
  <c r="M200" i="3"/>
  <c r="O200" i="3" s="1"/>
  <c r="V225" i="3"/>
  <c r="X225" i="3" s="1"/>
  <c r="P272" i="3"/>
  <c r="P273" i="3" s="1"/>
  <c r="N292" i="3"/>
  <c r="P191" i="3"/>
  <c r="M193" i="3" s="1" a="1"/>
  <c r="O214" i="3"/>
  <c r="M235" i="3"/>
  <c r="O235" i="3" s="1"/>
  <c r="P192" i="3"/>
  <c r="M194" i="3" s="1" a="1"/>
  <c r="M249" i="3"/>
  <c r="M250" i="3" s="1"/>
  <c r="O250" i="3" s="1"/>
  <c r="M217" i="3"/>
  <c r="O217" i="3" s="1"/>
  <c r="P287" i="3"/>
  <c r="M289" i="3" s="1" a="1"/>
  <c r="M289" i="3" s="1"/>
  <c r="P292" i="3"/>
  <c r="M266" i="3"/>
  <c r="O265" i="3"/>
  <c r="M264" i="3"/>
  <c r="O264" i="3" s="1"/>
  <c r="O266" i="3" s="1"/>
  <c r="P264" i="3"/>
  <c r="P266" i="3" s="1"/>
  <c r="U203" i="3"/>
  <c r="U215" i="3" s="1"/>
  <c r="W215" i="3" s="1"/>
  <c r="U225" i="3"/>
  <c r="W225" i="3" s="1"/>
  <c r="U292" i="3"/>
  <c r="U293" i="3" s="1"/>
  <c r="U219" i="3"/>
  <c r="W293" i="3"/>
  <c r="W292" i="3"/>
  <c r="W295" i="3"/>
  <c r="W294" i="3"/>
  <c r="Y216" i="3"/>
  <c r="V292" i="3"/>
  <c r="V293" i="3" s="1"/>
  <c r="X215" i="3"/>
  <c r="X212" i="3"/>
  <c r="X213" i="3" s="1"/>
  <c r="V294" i="3"/>
  <c r="V295" i="3" s="1"/>
  <c r="X208" i="3"/>
  <c r="X209" i="3" s="1"/>
  <c r="V210" i="3"/>
  <c r="P256" i="3"/>
  <c r="P237" i="3"/>
  <c r="N238" i="3" s="1"/>
  <c r="P238" i="3" s="1"/>
  <c r="N256" i="3"/>
  <c r="P227" i="3"/>
  <c r="M229" i="3" s="1" a="1"/>
  <c r="P229" i="3" s="1"/>
  <c r="M252" i="3"/>
  <c r="O252" i="3" s="1"/>
  <c r="P252" i="3"/>
  <c r="P253" i="3" s="1"/>
  <c r="P254" i="3" s="1"/>
  <c r="O251" i="3"/>
  <c r="M253" i="3" s="1" a="1"/>
  <c r="M253" i="3" s="1"/>
  <c r="O16" i="3"/>
  <c r="N16" i="3"/>
  <c r="O15" i="3"/>
  <c r="N15" i="3"/>
  <c r="O14" i="3"/>
  <c r="N14" i="3"/>
  <c r="M15" i="3"/>
  <c r="M14" i="3"/>
  <c r="M16" i="3" s="1"/>
  <c r="N266" i="3" l="1"/>
  <c r="M267" i="3" s="1" a="1"/>
  <c r="M267" i="3" s="1"/>
  <c r="O267" i="3" s="1"/>
  <c r="M269" i="3" s="1" a="1"/>
  <c r="M269" i="3" s="1"/>
  <c r="M274" i="3" s="1"/>
  <c r="M226" i="3"/>
  <c r="N529" i="3" a="1"/>
  <c r="N534" i="3"/>
  <c r="I591" i="3"/>
  <c r="H593" i="3" s="1" a="1"/>
  <c r="H593" i="3" s="1"/>
  <c r="J593" i="3" s="1"/>
  <c r="H592" i="3" a="1"/>
  <c r="O226" i="3"/>
  <c r="V524" i="3"/>
  <c r="V525" i="3" s="1"/>
  <c r="V526" i="3"/>
  <c r="M268" i="3" a="1"/>
  <c r="M268" i="3" s="1"/>
  <c r="O268" i="3" s="1"/>
  <c r="O269" i="3" s="1" a="1"/>
  <c r="O269" i="3" s="1"/>
  <c r="O249" i="3"/>
  <c r="V219" i="3"/>
  <c r="X223" i="3" s="1"/>
  <c r="G50" i="1"/>
  <c r="U294" i="3"/>
  <c r="U295" i="3" s="1"/>
  <c r="W210" i="3"/>
  <c r="U204" i="3" a="1"/>
  <c r="U204" i="3" s="1"/>
  <c r="W204" i="3" s="1"/>
  <c r="P288" i="3"/>
  <c r="P289" i="3" s="1"/>
  <c r="V302" i="3" a="1"/>
  <c r="V302" i="3" s="1"/>
  <c r="V309" i="3" a="1"/>
  <c r="V309" i="3" s="1"/>
  <c r="U216" i="3" a="1"/>
  <c r="U216" i="3" s="1"/>
  <c r="W203" i="3"/>
  <c r="U205" i="3" s="1" a="1"/>
  <c r="U205" i="3" s="1"/>
  <c r="W205" i="3" s="1"/>
  <c r="M194" i="3"/>
  <c r="P194" i="3"/>
  <c r="M193" i="3"/>
  <c r="O193" i="3" s="1"/>
  <c r="O195" i="3" s="1"/>
  <c r="P193" i="3"/>
  <c r="P195" i="3" s="1"/>
  <c r="N274" i="3"/>
  <c r="W224" i="3"/>
  <c r="U298" i="3" s="1"/>
  <c r="W219" i="3"/>
  <c r="Z216" i="3"/>
  <c r="H50" i="1" s="1"/>
  <c r="J626" i="3" s="1"/>
  <c r="U217" i="3" a="1"/>
  <c r="V211" i="3"/>
  <c r="X210" i="3"/>
  <c r="X211" i="3" s="1"/>
  <c r="N239" i="3"/>
  <c r="P239" i="3" s="1"/>
  <c r="N249" i="3" s="1"/>
  <c r="N250" i="3" s="1"/>
  <c r="M229" i="3"/>
  <c r="M254" i="3" a="1"/>
  <c r="M254" i="3" s="1"/>
  <c r="O254" i="3" s="1"/>
  <c r="O255" i="3" s="1" a="1"/>
  <c r="O255" i="3" s="1"/>
  <c r="M255" i="3" a="1"/>
  <c r="M255" i="3" s="1"/>
  <c r="J217" i="3"/>
  <c r="W158" i="3"/>
  <c r="AN163" i="3" s="1" a="1"/>
  <c r="AN163" i="3" s="1"/>
  <c r="W157" i="3"/>
  <c r="AN153" i="3" s="1" a="1"/>
  <c r="AN153" i="3" s="1"/>
  <c r="V158" i="3"/>
  <c r="AM163" i="3" s="1" a="1"/>
  <c r="AM163" i="3" s="1"/>
  <c r="V157" i="3"/>
  <c r="AM153" i="3" s="1" a="1"/>
  <c r="AM153" i="3" s="1"/>
  <c r="X146" i="3"/>
  <c r="W143" i="3"/>
  <c r="Y149" i="3" s="1"/>
  <c r="V143" i="3"/>
  <c r="X151" i="3"/>
  <c r="V151" i="3"/>
  <c r="Y143" i="3"/>
  <c r="Y148" i="3" s="1"/>
  <c r="J163" i="3"/>
  <c r="X118" i="3"/>
  <c r="V118" i="3"/>
  <c r="X113" i="3"/>
  <c r="Y110" i="3"/>
  <c r="Y115" i="3" s="1"/>
  <c r="W110" i="3"/>
  <c r="Y116" i="3" s="1"/>
  <c r="V110" i="3"/>
  <c r="N163" i="3"/>
  <c r="N162" i="3"/>
  <c r="N165" i="3" s="1"/>
  <c r="M275" i="3" l="1"/>
  <c r="O275" i="3" s="1"/>
  <c r="O274" i="3"/>
  <c r="V224" i="3"/>
  <c r="X224" i="3" s="1"/>
  <c r="H628" i="3" a="1"/>
  <c r="M228" i="3" a="1"/>
  <c r="H592" i="3"/>
  <c r="J592" i="3" s="1"/>
  <c r="K592" i="3"/>
  <c r="K593" i="3" s="1"/>
  <c r="H594" i="3" a="1"/>
  <c r="H594" i="3" s="1"/>
  <c r="M197" i="3" a="1"/>
  <c r="M197" i="3" s="1"/>
  <c r="O197" i="3" s="1"/>
  <c r="O198" i="3" s="1" a="1"/>
  <c r="O198" i="3" s="1"/>
  <c r="X219" i="3"/>
  <c r="U222" i="3" s="1" a="1"/>
  <c r="U222" i="3" s="1"/>
  <c r="N529" i="3"/>
  <c r="P529" i="3" s="1"/>
  <c r="N530" i="3" s="1" a="1"/>
  <c r="Q529" i="3"/>
  <c r="U220" i="3" a="1"/>
  <c r="U220" i="3" s="1"/>
  <c r="W220" i="3" s="1"/>
  <c r="X150" i="3" a="1"/>
  <c r="X150" i="3" s="1"/>
  <c r="M290" i="3" a="1"/>
  <c r="M290" i="3" s="1"/>
  <c r="O290" i="3" s="1"/>
  <c r="X204" i="3"/>
  <c r="X205" i="3" s="1"/>
  <c r="U207" i="3" s="1" a="1"/>
  <c r="U207" i="3" s="1"/>
  <c r="V298" i="3"/>
  <c r="Y226" i="3"/>
  <c r="X216" i="3"/>
  <c r="W211" i="3"/>
  <c r="U213" i="3" s="1" a="1"/>
  <c r="U213" i="3" s="1"/>
  <c r="W213" i="3" s="1"/>
  <c r="W214" i="3" s="1" a="1"/>
  <c r="W214" i="3" s="1"/>
  <c r="P240" i="3"/>
  <c r="N195" i="3"/>
  <c r="P199" i="3"/>
  <c r="P200" i="3" s="1"/>
  <c r="O194" i="3"/>
  <c r="M195" i="3"/>
  <c r="P290" i="3"/>
  <c r="M291" i="3" a="1"/>
  <c r="M291" i="3" s="1"/>
  <c r="N275" i="3"/>
  <c r="P274" i="3"/>
  <c r="M276" i="3" s="1" a="1"/>
  <c r="M276" i="3" s="1"/>
  <c r="U217" i="3"/>
  <c r="X217" i="3"/>
  <c r="W216" i="3"/>
  <c r="U212" i="3" a="1"/>
  <c r="U212" i="3" s="1"/>
  <c r="W212" i="3" s="1"/>
  <c r="U214" i="3" s="1" a="1"/>
  <c r="U214" i="3" s="1"/>
  <c r="P234" i="3"/>
  <c r="P235" i="3" s="1"/>
  <c r="N230" i="3"/>
  <c r="O229" i="3"/>
  <c r="M230" i="3"/>
  <c r="X117" i="3" a="1"/>
  <c r="X117" i="3" s="1"/>
  <c r="X110" i="3"/>
  <c r="V111" i="3" s="1" a="1"/>
  <c r="V111" i="3" s="1"/>
  <c r="X111" i="3" s="1"/>
  <c r="AK153" i="3" a="1"/>
  <c r="AK153" i="3" s="1"/>
  <c r="AL153" i="3" a="1"/>
  <c r="AL153" i="3" s="1"/>
  <c r="AK163" i="3" a="1"/>
  <c r="AK163" i="3" s="1"/>
  <c r="AL163" i="3" a="1"/>
  <c r="AL163" i="3" s="1"/>
  <c r="X143" i="3"/>
  <c r="N167" i="3"/>
  <c r="N164" i="3"/>
  <c r="AF72" i="3"/>
  <c r="AH84" i="3"/>
  <c r="S36" i="1"/>
  <c r="X220" i="3" l="1"/>
  <c r="U221" i="3" s="1" a="1"/>
  <c r="U221" i="3" s="1"/>
  <c r="H628" i="3"/>
  <c r="J594" i="3" a="1"/>
  <c r="J594" i="3" s="1"/>
  <c r="M228" i="3"/>
  <c r="P228" i="3"/>
  <c r="P230" i="3" s="1"/>
  <c r="M196" i="3" a="1"/>
  <c r="M196" i="3" s="1"/>
  <c r="O196" i="3" s="1"/>
  <c r="M198" i="3" s="1" a="1"/>
  <c r="M198" i="3" s="1"/>
  <c r="M203" i="3" s="1"/>
  <c r="N530" i="3"/>
  <c r="P530" i="3" s="1"/>
  <c r="Q532" i="3"/>
  <c r="U206" i="3" a="1"/>
  <c r="U206" i="3" s="1"/>
  <c r="W206" i="3" s="1"/>
  <c r="W207" i="3" s="1"/>
  <c r="X222" i="3"/>
  <c r="V297" i="3" s="1"/>
  <c r="O203" i="3"/>
  <c r="M204" i="3"/>
  <c r="O204" i="3" s="1"/>
  <c r="O276" i="3"/>
  <c r="O291" i="3" a="1"/>
  <c r="O291" i="3" s="1"/>
  <c r="P275" i="3"/>
  <c r="W222" i="3"/>
  <c r="U297" i="3" s="1"/>
  <c r="U224" i="3"/>
  <c r="U218" i="3" a="1"/>
  <c r="U218" i="3" s="1"/>
  <c r="W217" i="3"/>
  <c r="W218" i="3" s="1" a="1"/>
  <c r="W218" i="3" s="1"/>
  <c r="M231" i="3" a="1"/>
  <c r="M231" i="3" s="1"/>
  <c r="O231" i="3" s="1"/>
  <c r="M233" i="3" s="1" a="1"/>
  <c r="M233" i="3" s="1"/>
  <c r="M238" i="3" s="1"/>
  <c r="O238" i="3" s="1"/>
  <c r="M240" i="3" s="1" a="1"/>
  <c r="D253" i="3" a="1"/>
  <c r="D253" i="3" s="1"/>
  <c r="D262" i="3" a="1"/>
  <c r="D262" i="3" s="1"/>
  <c r="V144" i="3" a="1"/>
  <c r="V144" i="3" s="1"/>
  <c r="N166" i="3"/>
  <c r="N169" i="3"/>
  <c r="AH77" i="3"/>
  <c r="AH72" i="3"/>
  <c r="AH46" i="3"/>
  <c r="AF34" i="3"/>
  <c r="AH39" i="3" s="1"/>
  <c r="Q36" i="1"/>
  <c r="J628" i="3" l="1"/>
  <c r="O228" i="3"/>
  <c r="N532" i="3"/>
  <c r="P532" i="3" s="1"/>
  <c r="N533" i="3" s="1" a="1"/>
  <c r="N533" i="3" s="1"/>
  <c r="N531" i="3"/>
  <c r="P531" i="3" s="1"/>
  <c r="U210" i="3"/>
  <c r="U208" i="3"/>
  <c r="W208" i="3" s="1"/>
  <c r="X206" i="3"/>
  <c r="X207" i="3" s="1"/>
  <c r="M239" i="3"/>
  <c r="O239" i="3" s="1"/>
  <c r="M241" i="3" s="1" a="1"/>
  <c r="M241" i="3" s="1"/>
  <c r="M242" i="3" s="1"/>
  <c r="P276" i="3"/>
  <c r="N285" i="3"/>
  <c r="M277" i="3" a="1"/>
  <c r="O277" i="3" a="1"/>
  <c r="O277" i="3" s="1"/>
  <c r="X221" i="3"/>
  <c r="V296" i="3" s="1"/>
  <c r="V223" i="3"/>
  <c r="Z226" i="3" s="1"/>
  <c r="W221" i="3"/>
  <c r="U223" i="3"/>
  <c r="W223" i="3" s="1"/>
  <c r="U209" i="3"/>
  <c r="U211" i="3"/>
  <c r="M240" i="3"/>
  <c r="X144" i="3"/>
  <c r="N168" i="3"/>
  <c r="AF73" i="3"/>
  <c r="AH34" i="3"/>
  <c r="AF35" i="3" s="1"/>
  <c r="O230" i="3" l="1"/>
  <c r="M232" i="3" s="1" a="1"/>
  <c r="M232" i="3" s="1"/>
  <c r="V208" i="3"/>
  <c r="V209" i="3" s="1"/>
  <c r="N242" i="3"/>
  <c r="W209" i="3"/>
  <c r="R267" i="3"/>
  <c r="U250" i="3" s="1"/>
  <c r="S268" i="3"/>
  <c r="S267" i="3"/>
  <c r="N286" i="3"/>
  <c r="N278" i="3"/>
  <c r="M277" i="3"/>
  <c r="U296" i="3"/>
  <c r="O240" i="3"/>
  <c r="O242" i="3"/>
  <c r="O243" i="3" s="1"/>
  <c r="M244" i="3" s="1"/>
  <c r="M243" i="3"/>
  <c r="P242" i="3"/>
  <c r="P243" i="3" s="1"/>
  <c r="N244" i="3" s="1"/>
  <c r="P244" i="3" s="1"/>
  <c r="N243" i="3"/>
  <c r="F35" i="1"/>
  <c r="J35" i="1"/>
  <c r="I35" i="1"/>
  <c r="H35" i="1"/>
  <c r="G35" i="1"/>
  <c r="J34" i="1"/>
  <c r="I34" i="1"/>
  <c r="AH96" i="3" s="1"/>
  <c r="AH97" i="3" s="1"/>
  <c r="AH99" i="3" s="1"/>
  <c r="AH100" i="3" s="1"/>
  <c r="H34" i="1"/>
  <c r="AH98" i="3" s="1"/>
  <c r="AH101" i="3" s="1"/>
  <c r="G34" i="1"/>
  <c r="F34" i="1"/>
  <c r="K563" i="3" s="1"/>
  <c r="J33" i="1"/>
  <c r="I33" i="1"/>
  <c r="AH58" i="3" s="1"/>
  <c r="AH59" i="3" s="1"/>
  <c r="AH61" i="3" s="1"/>
  <c r="AH62" i="3" s="1"/>
  <c r="H33" i="1"/>
  <c r="AH60" i="3" s="1"/>
  <c r="AH63" i="3" s="1"/>
  <c r="G33" i="1"/>
  <c r="F33" i="1"/>
  <c r="K559" i="3" s="1"/>
  <c r="W242" i="3" l="1"/>
  <c r="H564" i="3" a="1"/>
  <c r="N648" i="3" s="1"/>
  <c r="J648" i="3" s="1"/>
  <c r="K560" i="3"/>
  <c r="H561" i="3" s="1" a="1"/>
  <c r="H561" i="3" s="1"/>
  <c r="H560" i="3" a="1"/>
  <c r="N646" i="3" s="1"/>
  <c r="J646" i="3" s="1"/>
  <c r="O232" i="3"/>
  <c r="W234" i="3"/>
  <c r="U235" i="3"/>
  <c r="U236" i="3"/>
  <c r="W226" i="3"/>
  <c r="U238" i="3"/>
  <c r="U228" i="3"/>
  <c r="U227" i="3"/>
  <c r="U226" i="3"/>
  <c r="W227" i="3"/>
  <c r="W228" i="3"/>
  <c r="U229" i="3"/>
  <c r="W233" i="3"/>
  <c r="U234" i="3"/>
  <c r="W235" i="3"/>
  <c r="U230" i="3"/>
  <c r="U231" i="3"/>
  <c r="U232" i="3"/>
  <c r="W229" i="3"/>
  <c r="W232" i="3"/>
  <c r="U233" i="3"/>
  <c r="U237" i="3"/>
  <c r="R268" i="3"/>
  <c r="W230" i="3"/>
  <c r="W231" i="3"/>
  <c r="W236" i="3"/>
  <c r="W252" i="3"/>
  <c r="U257" i="3"/>
  <c r="U254" i="3"/>
  <c r="W237" i="3"/>
  <c r="W257" i="3"/>
  <c r="W253" i="3"/>
  <c r="W238" i="3"/>
  <c r="U255" i="3"/>
  <c r="U239" i="3"/>
  <c r="W254" i="3"/>
  <c r="U256" i="3"/>
  <c r="W239" i="3"/>
  <c r="U241" i="3"/>
  <c r="W255" i="3"/>
  <c r="U240" i="3"/>
  <c r="W241" i="3"/>
  <c r="W256" i="3"/>
  <c r="W240" i="3"/>
  <c r="V259" i="3"/>
  <c r="V271" i="3"/>
  <c r="V283" i="3"/>
  <c r="V260" i="3"/>
  <c r="V272" i="3"/>
  <c r="V261" i="3"/>
  <c r="V273" i="3"/>
  <c r="V262" i="3"/>
  <c r="V274" i="3"/>
  <c r="V286" i="3"/>
  <c r="V263" i="3"/>
  <c r="V287" i="3"/>
  <c r="V264" i="3"/>
  <c r="V288" i="3"/>
  <c r="V265" i="3"/>
  <c r="V289" i="3"/>
  <c r="V266" i="3"/>
  <c r="V267" i="3"/>
  <c r="V269" i="3"/>
  <c r="V282" i="3"/>
  <c r="V268" i="3"/>
  <c r="V270" i="3"/>
  <c r="M278" i="3"/>
  <c r="V243" i="3" s="1"/>
  <c r="U242" i="3"/>
  <c r="P278" i="3"/>
  <c r="P279" i="3" s="1"/>
  <c r="N280" i="3" s="1"/>
  <c r="N279" i="3"/>
  <c r="U251" i="3"/>
  <c r="X231" i="3"/>
  <c r="X255" i="3"/>
  <c r="V227" i="3"/>
  <c r="V239" i="3"/>
  <c r="V251" i="3"/>
  <c r="X227" i="3"/>
  <c r="V237" i="3"/>
  <c r="X242" i="3"/>
  <c r="V250" i="3"/>
  <c r="X232" i="3"/>
  <c r="X256" i="3"/>
  <c r="V228" i="3"/>
  <c r="V240" i="3"/>
  <c r="V234" i="3"/>
  <c r="V226" i="3"/>
  <c r="V236" i="3"/>
  <c r="X233" i="3"/>
  <c r="X257" i="3"/>
  <c r="V229" i="3"/>
  <c r="V241" i="3"/>
  <c r="X235" i="3"/>
  <c r="V231" i="3"/>
  <c r="V255" i="3"/>
  <c r="X236" i="3"/>
  <c r="V232" i="3"/>
  <c r="V256" i="3"/>
  <c r="X237" i="3"/>
  <c r="V233" i="3"/>
  <c r="V257" i="3"/>
  <c r="X254" i="3"/>
  <c r="V238" i="3"/>
  <c r="X234" i="3"/>
  <c r="X226" i="3"/>
  <c r="V230" i="3"/>
  <c r="V242" i="3"/>
  <c r="V254" i="3"/>
  <c r="X238" i="3"/>
  <c r="X239" i="3"/>
  <c r="X230" i="3"/>
  <c r="V235" i="3"/>
  <c r="X228" i="3"/>
  <c r="X240" i="3"/>
  <c r="X252" i="3"/>
  <c r="X229" i="3"/>
  <c r="X241" i="3"/>
  <c r="X253" i="3"/>
  <c r="X270" i="3"/>
  <c r="X259" i="3"/>
  <c r="X271" i="3"/>
  <c r="X260" i="3"/>
  <c r="X272" i="3"/>
  <c r="X284" i="3"/>
  <c r="X258" i="3"/>
  <c r="X261" i="3"/>
  <c r="X273" i="3"/>
  <c r="X285" i="3"/>
  <c r="X263" i="3"/>
  <c r="X287" i="3"/>
  <c r="X264" i="3"/>
  <c r="X288" i="3"/>
  <c r="V258" i="3"/>
  <c r="X265" i="3"/>
  <c r="X289" i="3"/>
  <c r="X262" i="3"/>
  <c r="X274" i="3"/>
  <c r="X286" i="3"/>
  <c r="X266" i="3"/>
  <c r="X267" i="3"/>
  <c r="X268" i="3"/>
  <c r="X269" i="3"/>
  <c r="Y144" i="3"/>
  <c r="V145" i="3" s="1" a="1"/>
  <c r="Y145" i="3" s="1"/>
  <c r="W151" i="3"/>
  <c r="Y151" i="3"/>
  <c r="O241" i="3" a="1"/>
  <c r="O244" i="3"/>
  <c r="M245" i="3"/>
  <c r="O245" i="3" s="1"/>
  <c r="N245" i="3"/>
  <c r="P245" i="3"/>
  <c r="W118" i="3"/>
  <c r="Y118" i="3"/>
  <c r="Y111" i="3"/>
  <c r="U37" i="1"/>
  <c r="U35" i="1" s="1"/>
  <c r="AI34" i="3"/>
  <c r="AI46" i="3"/>
  <c r="AG34" i="3"/>
  <c r="AG46" i="3"/>
  <c r="AH35" i="3"/>
  <c r="AF50" i="3"/>
  <c r="AH73" i="3"/>
  <c r="AG84" i="3"/>
  <c r="AG72" i="3"/>
  <c r="AF88" i="3"/>
  <c r="AI72" i="3"/>
  <c r="AI84" i="3"/>
  <c r="S37" i="1"/>
  <c r="S35" i="1" s="1"/>
  <c r="R94" i="3" s="1"/>
  <c r="R125" i="3" s="1"/>
  <c r="S106" i="3"/>
  <c r="S31" i="3"/>
  <c r="Q37" i="1"/>
  <c r="D87" i="3"/>
  <c r="D78" i="3"/>
  <c r="D79" i="3" s="1"/>
  <c r="D69" i="3"/>
  <c r="R196" i="3" s="1"/>
  <c r="Y29" i="3"/>
  <c r="O13" i="3"/>
  <c r="N13" i="3"/>
  <c r="O12" i="3"/>
  <c r="N12" i="3"/>
  <c r="O11" i="3"/>
  <c r="N11" i="3"/>
  <c r="O10" i="3"/>
  <c r="N10" i="3"/>
  <c r="W9" i="3"/>
  <c r="D27" i="3" s="1"/>
  <c r="D28" i="3" s="1"/>
  <c r="F28" i="3" s="1"/>
  <c r="AH24" i="3"/>
  <c r="AR7" i="3"/>
  <c r="J31" i="1"/>
  <c r="M13" i="3" s="1"/>
  <c r="I31" i="1"/>
  <c r="S190" i="3" s="1"/>
  <c r="N653" i="3" s="1"/>
  <c r="J653" i="3" s="1"/>
  <c r="H31" i="1"/>
  <c r="O542" i="3" s="1"/>
  <c r="Q542" i="3" s="1"/>
  <c r="G31" i="1"/>
  <c r="N652" i="3" s="1"/>
  <c r="J652" i="3" s="1"/>
  <c r="F31" i="1"/>
  <c r="J30" i="1"/>
  <c r="M6" i="3" s="1"/>
  <c r="I30" i="1"/>
  <c r="H30" i="1"/>
  <c r="G30" i="1"/>
  <c r="F30" i="1"/>
  <c r="K611" i="3" s="1"/>
  <c r="H612" i="3" s="1" a="1"/>
  <c r="H564" i="3" l="1"/>
  <c r="K564" i="3"/>
  <c r="Q559" i="3" a="1"/>
  <c r="Q559" i="3" s="1"/>
  <c r="H560" i="3"/>
  <c r="N559" i="3" s="1" a="1"/>
  <c r="N559" i="3" s="1"/>
  <c r="O559" i="3" a="1"/>
  <c r="O559" i="3" s="1"/>
  <c r="Y19" i="3"/>
  <c r="Y20" i="3" s="1"/>
  <c r="O549" i="3"/>
  <c r="O548" i="3"/>
  <c r="O547" i="3"/>
  <c r="O546" i="3"/>
  <c r="Q546" i="3" s="1" a="1"/>
  <c r="Q546" i="3" s="1"/>
  <c r="O535" i="3"/>
  <c r="Q535" i="3" s="1"/>
  <c r="O536" i="3"/>
  <c r="H612" i="3"/>
  <c r="J612" i="3" s="1"/>
  <c r="K612" i="3"/>
  <c r="J609" i="3"/>
  <c r="O233" i="3" a="1"/>
  <c r="O233" i="3" s="1"/>
  <c r="AF10" i="3"/>
  <c r="AF16" i="3" s="1"/>
  <c r="AH16" i="3" s="1"/>
  <c r="P383" i="3"/>
  <c r="P384" i="3" s="1"/>
  <c r="N381" i="3"/>
  <c r="N382" i="3" s="1"/>
  <c r="P381" i="3"/>
  <c r="P382" i="3" s="1"/>
  <c r="N383" i="3"/>
  <c r="N384" i="3" s="1"/>
  <c r="AH11" i="3"/>
  <c r="AF12" i="3" s="1"/>
  <c r="AH12" i="3" s="1"/>
  <c r="AF13" i="3" s="1"/>
  <c r="AH13" i="3" s="1"/>
  <c r="AF14" i="3" s="1"/>
  <c r="AH14" i="3" s="1"/>
  <c r="AF15" i="3" s="1"/>
  <c r="AH17" i="3" s="1"/>
  <c r="AF18" i="3" s="1"/>
  <c r="I50" i="1"/>
  <c r="Z205" i="3"/>
  <c r="X308" i="3" s="1"/>
  <c r="F87" i="3"/>
  <c r="U266" i="3"/>
  <c r="W266" i="3"/>
  <c r="U269" i="3"/>
  <c r="W258" i="3"/>
  <c r="U259" i="3"/>
  <c r="W259" i="3"/>
  <c r="U270" i="3"/>
  <c r="U258" i="3"/>
  <c r="U260" i="3"/>
  <c r="W260" i="3"/>
  <c r="U265" i="3"/>
  <c r="W265" i="3"/>
  <c r="U267" i="3"/>
  <c r="W267" i="3"/>
  <c r="U264" i="3"/>
  <c r="U268" i="3"/>
  <c r="W261" i="3"/>
  <c r="W262" i="3"/>
  <c r="W268" i="3"/>
  <c r="U261" i="3"/>
  <c r="U262" i="3"/>
  <c r="W263" i="3"/>
  <c r="W264" i="3"/>
  <c r="U263" i="3"/>
  <c r="W284" i="3"/>
  <c r="W269" i="3"/>
  <c r="U289" i="3"/>
  <c r="W270" i="3"/>
  <c r="W285" i="3"/>
  <c r="U286" i="3"/>
  <c r="W289" i="3"/>
  <c r="U271" i="3"/>
  <c r="U287" i="3"/>
  <c r="W286" i="3"/>
  <c r="U272" i="3"/>
  <c r="W287" i="3"/>
  <c r="U288" i="3"/>
  <c r="U273" i="3"/>
  <c r="W271" i="3"/>
  <c r="W273" i="3"/>
  <c r="W288" i="3"/>
  <c r="W272" i="3"/>
  <c r="U282" i="3"/>
  <c r="W274" i="3"/>
  <c r="U275" i="3"/>
  <c r="U274" i="3"/>
  <c r="U283" i="3"/>
  <c r="V275" i="3"/>
  <c r="N281" i="3"/>
  <c r="P280" i="3"/>
  <c r="P281" i="3" s="1"/>
  <c r="U243" i="3"/>
  <c r="M279" i="3"/>
  <c r="O278" i="3"/>
  <c r="V145" i="3"/>
  <c r="X145" i="3" s="1"/>
  <c r="Y147" i="3"/>
  <c r="S191" i="3"/>
  <c r="P201" i="3" s="1"/>
  <c r="P202" i="3" s="1"/>
  <c r="N203" i="3" s="1"/>
  <c r="O241" i="3"/>
  <c r="M247" i="3" a="1"/>
  <c r="M247" i="3" s="1"/>
  <c r="M246" i="3" a="1"/>
  <c r="D70" i="3"/>
  <c r="D71" i="3" s="1"/>
  <c r="D72" i="3" s="1"/>
  <c r="D73" i="3" s="1"/>
  <c r="V112" i="3" a="1"/>
  <c r="Q35" i="1"/>
  <c r="R59" i="3" s="1"/>
  <c r="S59" i="3" s="1"/>
  <c r="L19" i="1"/>
  <c r="R92" i="3"/>
  <c r="AG85" i="3"/>
  <c r="AG86" i="3" s="1"/>
  <c r="AI85" i="3"/>
  <c r="AI86" i="3" s="1"/>
  <c r="AG73" i="3"/>
  <c r="O9" i="3"/>
  <c r="AI47" i="3"/>
  <c r="AI48" i="3" s="1"/>
  <c r="AG47" i="3"/>
  <c r="AG48" i="3" s="1"/>
  <c r="AG35" i="3"/>
  <c r="F27" i="3"/>
  <c r="F42" i="3" s="1"/>
  <c r="D31" i="3"/>
  <c r="F31" i="3" s="1"/>
  <c r="D32" i="3" s="1"/>
  <c r="F32" i="3" s="1"/>
  <c r="D33" i="3" s="1"/>
  <c r="F33" i="3" s="1"/>
  <c r="D34" i="3" s="1"/>
  <c r="F34" i="3" s="1"/>
  <c r="D35" i="3" s="1"/>
  <c r="F35" i="3" s="1"/>
  <c r="D36" i="3"/>
  <c r="F36" i="3" s="1"/>
  <c r="D37" i="3" s="1"/>
  <c r="F37" i="3" s="1"/>
  <c r="D38" i="3" s="1"/>
  <c r="F38" i="3" s="1"/>
  <c r="D39" i="3"/>
  <c r="F39" i="3" s="1"/>
  <c r="D40" i="3" s="1"/>
  <c r="F40" i="3" s="1"/>
  <c r="D41" i="3" s="1"/>
  <c r="F41" i="3" s="1"/>
  <c r="D83" i="3"/>
  <c r="D46" i="3"/>
  <c r="F46" i="3" s="1"/>
  <c r="F78" i="3"/>
  <c r="D80" i="3" s="1"/>
  <c r="D84" i="3" s="1"/>
  <c r="AF26" i="3"/>
  <c r="F69" i="3"/>
  <c r="AG10" i="3"/>
  <c r="AI10" i="3" s="1"/>
  <c r="M12" i="3"/>
  <c r="M11" i="3"/>
  <c r="X17" i="3"/>
  <c r="Z17" i="3" s="1"/>
  <c r="M10" i="3"/>
  <c r="X29" i="3"/>
  <c r="W19" i="3"/>
  <c r="W20" i="3" s="1"/>
  <c r="W17" i="3"/>
  <c r="W18" i="3" s="1"/>
  <c r="Y18" i="3" s="1"/>
  <c r="W30" i="3"/>
  <c r="Y21" i="3"/>
  <c r="W26" i="3"/>
  <c r="D50" i="3"/>
  <c r="F50" i="3" s="1"/>
  <c r="D51" i="3" s="1"/>
  <c r="F51" i="3" s="1"/>
  <c r="D52" i="3" s="1"/>
  <c r="F52" i="3" s="1"/>
  <c r="D42" i="3"/>
  <c r="D30" i="3"/>
  <c r="N7" i="3"/>
  <c r="O6" i="3"/>
  <c r="O7" i="3"/>
  <c r="N8" i="3"/>
  <c r="O8" i="3"/>
  <c r="N6" i="3"/>
  <c r="N9" i="3"/>
  <c r="M8" i="3"/>
  <c r="M9" i="3"/>
  <c r="M7" i="3"/>
  <c r="AH15" i="3"/>
  <c r="AF17" i="3" s="1"/>
  <c r="AF22" i="3"/>
  <c r="AF23" i="3" s="1"/>
  <c r="AG22" i="3"/>
  <c r="AI22" i="3" s="1"/>
  <c r="E7" i="3"/>
  <c r="F10" i="3"/>
  <c r="F7" i="3"/>
  <c r="F81" i="3" s="1"/>
  <c r="G6" i="3"/>
  <c r="H613" i="3" l="1" a="1"/>
  <c r="K627" i="3"/>
  <c r="N642" i="3"/>
  <c r="J642" i="3" s="1"/>
  <c r="L641" i="3" a="1"/>
  <c r="L641" i="3" s="1"/>
  <c r="J641" i="3" s="1"/>
  <c r="AH10" i="3"/>
  <c r="AF11" i="3" s="1"/>
  <c r="AH21" i="3" s="1"/>
  <c r="W529" i="3"/>
  <c r="W530" i="3" s="1"/>
  <c r="H565" i="3" a="1"/>
  <c r="Q563" i="3" a="1"/>
  <c r="Q563" i="3" s="1"/>
  <c r="Q536" i="3"/>
  <c r="N538" i="3" s="1" a="1"/>
  <c r="O537" i="3"/>
  <c r="Q537" i="3"/>
  <c r="P538" i="3" a="1"/>
  <c r="P538" i="3" s="1"/>
  <c r="N540" i="3" s="1" a="1"/>
  <c r="W527" i="3"/>
  <c r="J614" i="3" a="1"/>
  <c r="J614" i="3" s="1"/>
  <c r="J613" i="3"/>
  <c r="H613" i="3"/>
  <c r="K613" i="3"/>
  <c r="J629" i="3" a="1"/>
  <c r="J629" i="3" s="1"/>
  <c r="K628" i="3"/>
  <c r="H629" i="3" s="1" a="1"/>
  <c r="H629" i="3" s="1"/>
  <c r="N399" i="3"/>
  <c r="N403" i="3"/>
  <c r="P403" i="3" s="1"/>
  <c r="N398" i="3"/>
  <c r="P398" i="3" s="1"/>
  <c r="X303" i="3"/>
  <c r="Z376" i="3" a="1"/>
  <c r="Z376" i="3" s="1"/>
  <c r="AF27" i="3"/>
  <c r="AF28" i="3" s="1"/>
  <c r="W304" i="3"/>
  <c r="W307" i="3"/>
  <c r="X302" i="3"/>
  <c r="W308" i="3"/>
  <c r="X304" i="3"/>
  <c r="W303" i="3"/>
  <c r="W302" i="3"/>
  <c r="X306" i="3"/>
  <c r="X305" i="3"/>
  <c r="X307" i="3"/>
  <c r="W306" i="3"/>
  <c r="W305" i="3"/>
  <c r="U276" i="3"/>
  <c r="V276" i="3"/>
  <c r="O279" i="3"/>
  <c r="W275" i="3"/>
  <c r="W243" i="3"/>
  <c r="X275" i="3"/>
  <c r="X243" i="3"/>
  <c r="U244" i="3"/>
  <c r="V244" i="3"/>
  <c r="P216" i="3"/>
  <c r="N221" i="3"/>
  <c r="P221" i="3"/>
  <c r="N204" i="3"/>
  <c r="P204" i="3" s="1"/>
  <c r="P203" i="3"/>
  <c r="M205" i="3" s="1" a="1"/>
  <c r="M205" i="3" s="1"/>
  <c r="O205" i="3" s="1"/>
  <c r="P246" i="3"/>
  <c r="M246" i="3"/>
  <c r="E69" i="3"/>
  <c r="G69" i="3" s="1"/>
  <c r="W191" i="3" a="1"/>
  <c r="W191" i="3" s="1"/>
  <c r="D10" i="3"/>
  <c r="D53" i="3"/>
  <c r="V146" i="3" a="1"/>
  <c r="V112" i="3"/>
  <c r="Y114" i="3"/>
  <c r="Y112" i="3"/>
  <c r="R64" i="3"/>
  <c r="D88" i="3"/>
  <c r="F88" i="3" s="1"/>
  <c r="AI73" i="3"/>
  <c r="AI35" i="3"/>
  <c r="D48" i="3"/>
  <c r="D29" i="3"/>
  <c r="F29" i="3" s="1"/>
  <c r="F30" i="3" s="1"/>
  <c r="AG26" i="3"/>
  <c r="AG27" i="3" s="1"/>
  <c r="D47" i="3"/>
  <c r="F47" i="3" s="1"/>
  <c r="X18" i="3"/>
  <c r="F85" i="3"/>
  <c r="F82" i="3"/>
  <c r="F86" i="3" s="1"/>
  <c r="AI16" i="3"/>
  <c r="F74" i="3"/>
  <c r="F75" i="3" s="1"/>
  <c r="F76" i="3" s="1"/>
  <c r="F77" i="3" s="1"/>
  <c r="D5" i="3"/>
  <c r="X30" i="3"/>
  <c r="X31" i="3" s="1"/>
  <c r="W33" i="3"/>
  <c r="W34" i="3" s="1"/>
  <c r="Z29" i="3"/>
  <c r="Y17" i="3"/>
  <c r="W21" i="3"/>
  <c r="Y22" i="3"/>
  <c r="W31" i="3"/>
  <c r="Y30" i="3"/>
  <c r="W24" i="3"/>
  <c r="Y24" i="3" s="1"/>
  <c r="F9" i="3"/>
  <c r="F11" i="3" s="1"/>
  <c r="W14" i="3"/>
  <c r="F58" i="3" s="1"/>
  <c r="G7" i="3"/>
  <c r="X14" i="3"/>
  <c r="E54" i="3" s="1"/>
  <c r="G46" i="3"/>
  <c r="AM7" i="3"/>
  <c r="AK24" i="3" s="1"/>
  <c r="W27" i="3"/>
  <c r="Y26" i="3"/>
  <c r="G10" i="3"/>
  <c r="W177" i="3" s="1" a="1"/>
  <c r="X9" i="3"/>
  <c r="E27" i="3" s="1"/>
  <c r="X33" i="3"/>
  <c r="Z18" i="3"/>
  <c r="D43" i="3"/>
  <c r="D44" i="3" s="1"/>
  <c r="F44" i="3"/>
  <c r="D45" i="3"/>
  <c r="F43" i="3"/>
  <c r="F45" i="3" s="1"/>
  <c r="AH22" i="3"/>
  <c r="AH23" i="3" s="1"/>
  <c r="AG23" i="3"/>
  <c r="AG11" i="3"/>
  <c r="AI11" i="3" s="1"/>
  <c r="AG12" i="3" s="1"/>
  <c r="AG16" i="3"/>
  <c r="D11" i="3"/>
  <c r="AI23" i="3"/>
  <c r="AH18" i="3"/>
  <c r="E8" i="3"/>
  <c r="E9" i="3" s="1"/>
  <c r="G8" i="3"/>
  <c r="W178" i="3" s="1" a="1"/>
  <c r="W178" i="3" s="1"/>
  <c r="O553" i="3" l="1"/>
  <c r="H614" i="3" a="1"/>
  <c r="H565" i="3"/>
  <c r="N563" i="3" s="1" a="1"/>
  <c r="N563" i="3" s="1"/>
  <c r="O563" i="3" a="1"/>
  <c r="O563" i="3" s="1"/>
  <c r="O554" i="3"/>
  <c r="O555" i="3" s="1"/>
  <c r="Q553" i="3"/>
  <c r="Q554" i="3"/>
  <c r="Q555" i="3" s="1"/>
  <c r="N540" i="3"/>
  <c r="Q540" i="3"/>
  <c r="Q541" i="3" s="1"/>
  <c r="W528" i="3"/>
  <c r="O550" i="3"/>
  <c r="N538" i="3"/>
  <c r="O539" i="3"/>
  <c r="O541" i="3" s="1"/>
  <c r="P399" i="3"/>
  <c r="N404" i="3"/>
  <c r="X309" i="3" a="1"/>
  <c r="X309" i="3" s="1"/>
  <c r="W309" i="3" a="1"/>
  <c r="W309" i="3" s="1"/>
  <c r="O322" i="3"/>
  <c r="O324" i="3"/>
  <c r="W414" i="3" s="1"/>
  <c r="M280" i="3"/>
  <c r="W276" i="3"/>
  <c r="W244" i="3"/>
  <c r="X244" i="3"/>
  <c r="X276" i="3"/>
  <c r="M206" i="3" a="1"/>
  <c r="N214" i="3"/>
  <c r="N215" i="3" s="1"/>
  <c r="P205" i="3"/>
  <c r="O206" i="3" s="1" a="1"/>
  <c r="O206" i="3" s="1"/>
  <c r="P217" i="3"/>
  <c r="M218" i="3" a="1"/>
  <c r="M218" i="3" s="1"/>
  <c r="P247" i="3"/>
  <c r="O246" i="3"/>
  <c r="O247" i="3" s="1"/>
  <c r="W177" i="3"/>
  <c r="W180" i="3" s="1"/>
  <c r="X180" i="3"/>
  <c r="F53" i="3"/>
  <c r="D271" i="3"/>
  <c r="E70" i="3"/>
  <c r="G70" i="3" s="1"/>
  <c r="W176" i="3" a="1"/>
  <c r="W189" i="3" a="1"/>
  <c r="E271" i="3"/>
  <c r="F271" i="3" a="1"/>
  <c r="F271" i="3" s="1"/>
  <c r="V146" i="3"/>
  <c r="Y146" i="3"/>
  <c r="F144" i="3" a="1"/>
  <c r="F144" i="3" s="1"/>
  <c r="O162" i="3"/>
  <c r="X112" i="3"/>
  <c r="E72" i="3"/>
  <c r="O55" i="3" s="1"/>
  <c r="M82" i="3" s="1" a="1"/>
  <c r="O176" i="3"/>
  <c r="O177" i="3" s="1"/>
  <c r="F5" i="3"/>
  <c r="N144" i="3"/>
  <c r="N148" i="3" s="1"/>
  <c r="AF74" i="3" a="1"/>
  <c r="E87" i="3"/>
  <c r="G87" i="3" s="1"/>
  <c r="AF36" i="3" a="1"/>
  <c r="AI36" i="3" s="1"/>
  <c r="AG37" i="3" s="1"/>
  <c r="AG29" i="3"/>
  <c r="F48" i="3"/>
  <c r="D49" i="3" s="1"/>
  <c r="F49" i="3" s="1"/>
  <c r="E10" i="3"/>
  <c r="G11" i="3" s="1"/>
  <c r="N21" i="3"/>
  <c r="E11" i="3"/>
  <c r="E88" i="3"/>
  <c r="G88" i="3" s="1"/>
  <c r="G54" i="3"/>
  <c r="E55" i="3"/>
  <c r="E68" i="3"/>
  <c r="E67" i="3"/>
  <c r="AM21" i="3"/>
  <c r="AK13" i="3"/>
  <c r="AM24" i="3"/>
  <c r="AP22" i="3"/>
  <c r="AK23" i="3"/>
  <c r="AK15" i="3"/>
  <c r="AK10" i="3"/>
  <c r="E66" i="3"/>
  <c r="G66" i="3"/>
  <c r="AN7" i="3"/>
  <c r="AQ26" i="3" s="1"/>
  <c r="E78" i="3"/>
  <c r="D67" i="3"/>
  <c r="F70" i="3" s="1"/>
  <c r="F71" i="3" s="1"/>
  <c r="F72" i="3" s="1"/>
  <c r="F73" i="3" s="1"/>
  <c r="D57" i="3"/>
  <c r="D58" i="3"/>
  <c r="F67" i="3"/>
  <c r="K10" i="3"/>
  <c r="D63" i="3"/>
  <c r="K11" i="3"/>
  <c r="D64" i="3"/>
  <c r="W22" i="3"/>
  <c r="D59" i="3" s="1"/>
  <c r="W35" i="3"/>
  <c r="K12" i="3" s="1"/>
  <c r="Z30" i="3"/>
  <c r="Z31" i="3" s="1"/>
  <c r="G68" i="3" s="1"/>
  <c r="F66" i="3"/>
  <c r="D66" i="3"/>
  <c r="F56" i="3"/>
  <c r="F57" i="3"/>
  <c r="F54" i="3"/>
  <c r="F63" i="3"/>
  <c r="F55" i="3"/>
  <c r="Y25" i="3"/>
  <c r="F62" i="3" s="1"/>
  <c r="F61" i="3"/>
  <c r="Y31" i="3"/>
  <c r="F68" i="3" s="1"/>
  <c r="D68" i="3"/>
  <c r="D74" i="3" s="1"/>
  <c r="D75" i="3" s="1"/>
  <c r="D76" i="3" s="1"/>
  <c r="D77" i="3" s="1"/>
  <c r="X34" i="3"/>
  <c r="X35" i="3" s="1"/>
  <c r="L10" i="3"/>
  <c r="X19" i="3"/>
  <c r="E56" i="3" s="1"/>
  <c r="G55" i="3"/>
  <c r="W23" i="3"/>
  <c r="Y23" i="3" s="1"/>
  <c r="F59" i="3"/>
  <c r="Y27" i="3"/>
  <c r="Y28" i="3"/>
  <c r="F65" i="3" s="1"/>
  <c r="AK26" i="3"/>
  <c r="AK12" i="3"/>
  <c r="AP10" i="3"/>
  <c r="AK17" i="3"/>
  <c r="AM14" i="3"/>
  <c r="G47" i="3"/>
  <c r="G48" i="3" s="1"/>
  <c r="G49" i="3" s="1"/>
  <c r="E53" i="3"/>
  <c r="G53" i="3" s="1"/>
  <c r="AM10" i="3"/>
  <c r="AK18" i="3"/>
  <c r="W36" i="3"/>
  <c r="K13" i="3" s="1"/>
  <c r="AM12" i="3"/>
  <c r="AM22" i="3"/>
  <c r="AM15" i="3"/>
  <c r="AP23" i="3"/>
  <c r="AK16" i="3"/>
  <c r="AR16" i="3"/>
  <c r="AK27" i="3"/>
  <c r="G9" i="3"/>
  <c r="AK22" i="3"/>
  <c r="AR10" i="3"/>
  <c r="AM17" i="3"/>
  <c r="AK14" i="3"/>
  <c r="G27" i="3"/>
  <c r="S231" i="3" s="1"/>
  <c r="S232" i="3" s="1"/>
  <c r="E42" i="3"/>
  <c r="E28" i="3"/>
  <c r="G28" i="3" s="1"/>
  <c r="AM13" i="3"/>
  <c r="AK11" i="3"/>
  <c r="AM23" i="3"/>
  <c r="AM16" i="3"/>
  <c r="AM11" i="3"/>
  <c r="AP26" i="3"/>
  <c r="D54" i="3"/>
  <c r="D55" i="3"/>
  <c r="D56" i="3"/>
  <c r="D61" i="3"/>
  <c r="AR22" i="3"/>
  <c r="AP12" i="3"/>
  <c r="AI12" i="3"/>
  <c r="AG13" i="3" s="1"/>
  <c r="AG24" i="3"/>
  <c r="AP11" i="3"/>
  <c r="AP27" i="3"/>
  <c r="AR11" i="3"/>
  <c r="AF29" i="3"/>
  <c r="AK28" i="3"/>
  <c r="AG28" i="3"/>
  <c r="AI24" i="3"/>
  <c r="AR23" i="3"/>
  <c r="AF19" i="3"/>
  <c r="AM18" i="3"/>
  <c r="H614" i="3" l="1"/>
  <c r="M640" i="3" s="1"/>
  <c r="N640" i="3"/>
  <c r="Q551" i="3"/>
  <c r="Q552" i="3" s="1"/>
  <c r="O551" i="3"/>
  <c r="O552" i="3" s="1"/>
  <c r="Q550" i="3"/>
  <c r="P539" i="3" a="1"/>
  <c r="P539" i="3" s="1"/>
  <c r="N546" i="3"/>
  <c r="N539" i="3"/>
  <c r="N542" i="3"/>
  <c r="O323" i="3"/>
  <c r="Q323" i="3" s="1"/>
  <c r="O483" i="3"/>
  <c r="W415" i="3"/>
  <c r="P404" i="3"/>
  <c r="H51" i="1"/>
  <c r="V376" i="3" a="1"/>
  <c r="V376" i="3" s="1"/>
  <c r="X376" i="3" s="1" a="1"/>
  <c r="X376" i="3" s="1"/>
  <c r="O248" i="3" a="1"/>
  <c r="Q324" i="3"/>
  <c r="O355" i="3"/>
  <c r="O325" i="3"/>
  <c r="Q325" i="3" s="1"/>
  <c r="N371" i="3" a="1"/>
  <c r="AG175" i="3"/>
  <c r="AH175" i="3" s="1"/>
  <c r="AG176" i="3"/>
  <c r="AH176" i="3" s="1"/>
  <c r="U277" i="3"/>
  <c r="V277" i="3"/>
  <c r="U245" i="3"/>
  <c r="M281" i="3"/>
  <c r="O280" i="3"/>
  <c r="V245" i="3"/>
  <c r="M248" i="3" a="1"/>
  <c r="M248" i="3" s="1"/>
  <c r="E76" i="3"/>
  <c r="G76" i="3" s="1"/>
  <c r="W190" i="3" a="1"/>
  <c r="W190" i="3" s="1"/>
  <c r="W193" i="3" s="1"/>
  <c r="M219" i="3" a="1"/>
  <c r="M219" i="3" s="1"/>
  <c r="O219" i="3" s="1"/>
  <c r="P218" i="3"/>
  <c r="Y141" i="3"/>
  <c r="M206" i="3"/>
  <c r="M207" i="3" s="1"/>
  <c r="N207" i="3"/>
  <c r="E272" i="3"/>
  <c r="G272" i="3" s="1"/>
  <c r="E273" i="3" s="1"/>
  <c r="L14" i="3" s="1"/>
  <c r="G273" i="3"/>
  <c r="G275" i="3"/>
  <c r="W189" i="3"/>
  <c r="X194" i="3"/>
  <c r="W176" i="3"/>
  <c r="X181" i="3"/>
  <c r="X179" i="3"/>
  <c r="E74" i="3"/>
  <c r="G74" i="3" s="1"/>
  <c r="D275" i="3"/>
  <c r="F275" i="3" s="1"/>
  <c r="F274" i="3"/>
  <c r="K16" i="3" s="1"/>
  <c r="D272" i="3"/>
  <c r="E71" i="3"/>
  <c r="E75" i="3" s="1"/>
  <c r="G75" i="3" s="1"/>
  <c r="V147" i="3" a="1"/>
  <c r="V147" i="3" s="1"/>
  <c r="G72" i="3"/>
  <c r="E29" i="3"/>
  <c r="D145" i="3" a="1"/>
  <c r="D145" i="3" s="1"/>
  <c r="D149" i="3" a="1"/>
  <c r="D149" i="3" s="1"/>
  <c r="O163" i="3"/>
  <c r="D150" i="3" s="1" a="1"/>
  <c r="D150" i="3" s="1"/>
  <c r="E73" i="3"/>
  <c r="E77" i="3" s="1"/>
  <c r="G77" i="3" s="1"/>
  <c r="S155" i="3"/>
  <c r="V113" i="3" a="1"/>
  <c r="N29" i="3"/>
  <c r="N28" i="3"/>
  <c r="N131" i="3"/>
  <c r="S130" i="3"/>
  <c r="N149" i="3"/>
  <c r="AI74" i="3"/>
  <c r="AF74" i="3"/>
  <c r="N83" i="3"/>
  <c r="X49" i="3" s="1"/>
  <c r="X50" i="3" s="1"/>
  <c r="S81" i="3"/>
  <c r="S173" i="3" s="1"/>
  <c r="R60" i="3"/>
  <c r="AR32" i="3"/>
  <c r="M82" i="3"/>
  <c r="O87" i="3"/>
  <c r="O89" i="3" s="1"/>
  <c r="O90" i="3" s="1"/>
  <c r="N87" i="3"/>
  <c r="AF36" i="3"/>
  <c r="AF51" i="3" s="1"/>
  <c r="AG51" i="3"/>
  <c r="R24" i="3"/>
  <c r="R25" i="3" s="1"/>
  <c r="O21" i="3"/>
  <c r="AL29" i="3"/>
  <c r="X20" i="3"/>
  <c r="Z20" i="3" s="1"/>
  <c r="G57" i="3" s="1"/>
  <c r="G67" i="3"/>
  <c r="G81" i="3"/>
  <c r="G85" i="3" s="1"/>
  <c r="G82" i="3"/>
  <c r="G86" i="3" s="1"/>
  <c r="Z19" i="3"/>
  <c r="G56" i="3" s="1"/>
  <c r="X21" i="3"/>
  <c r="E58" i="3" s="1"/>
  <c r="G78" i="3"/>
  <c r="E80" i="3" s="1"/>
  <c r="E84" i="3" s="1"/>
  <c r="E79" i="3"/>
  <c r="AL12" i="3"/>
  <c r="AQ22" i="3"/>
  <c r="AL23" i="3"/>
  <c r="AS22" i="3"/>
  <c r="AS16" i="3"/>
  <c r="AS23" i="3"/>
  <c r="AQ27" i="3"/>
  <c r="AN16" i="3"/>
  <c r="AQ12" i="3"/>
  <c r="AS11" i="3"/>
  <c r="AN23" i="3"/>
  <c r="AL26" i="3"/>
  <c r="AL24" i="3"/>
  <c r="AL11" i="3"/>
  <c r="AN22" i="3"/>
  <c r="AQ10" i="3"/>
  <c r="AS10" i="3"/>
  <c r="AL28" i="3"/>
  <c r="AQ11" i="3"/>
  <c r="AL27" i="3"/>
  <c r="AN10" i="3"/>
  <c r="AQ23" i="3"/>
  <c r="AL22" i="3"/>
  <c r="AN11" i="3"/>
  <c r="AL10" i="3"/>
  <c r="AS24" i="3"/>
  <c r="G5" i="3"/>
  <c r="E5" i="3"/>
  <c r="W25" i="3"/>
  <c r="D62" i="3" s="1"/>
  <c r="F60" i="3"/>
  <c r="W28" i="3"/>
  <c r="D65" i="3" s="1"/>
  <c r="F64" i="3"/>
  <c r="L11" i="3"/>
  <c r="D60" i="3"/>
  <c r="X36" i="3"/>
  <c r="L13" i="3" s="1"/>
  <c r="L12" i="3"/>
  <c r="G29" i="3"/>
  <c r="E30" i="3"/>
  <c r="E43" i="3"/>
  <c r="G42" i="3"/>
  <c r="E45" i="3" s="1"/>
  <c r="G44" i="3"/>
  <c r="AP24" i="3"/>
  <c r="AS12" i="3"/>
  <c r="AN12" i="3"/>
  <c r="AP28" i="3"/>
  <c r="AR12" i="3"/>
  <c r="AQ24" i="3"/>
  <c r="AQ28" i="3"/>
  <c r="AQ29" i="3"/>
  <c r="AP29" i="3"/>
  <c r="AK29" i="3"/>
  <c r="AN24" i="3"/>
  <c r="AR24" i="3"/>
  <c r="AI13" i="3"/>
  <c r="AQ13" i="3"/>
  <c r="AP13" i="3"/>
  <c r="AL13" i="3"/>
  <c r="AH19" i="3"/>
  <c r="AK19" i="3"/>
  <c r="J640" i="3" l="1"/>
  <c r="N543" i="3" a="1"/>
  <c r="P542" i="3"/>
  <c r="N544" i="3" s="1" a="1"/>
  <c r="V527" i="3"/>
  <c r="N547" i="3"/>
  <c r="N550" i="3"/>
  <c r="N541" i="3"/>
  <c r="P541" i="3" s="1"/>
  <c r="P543" i="3" s="1"/>
  <c r="P540" i="3"/>
  <c r="D346" i="3" a="1"/>
  <c r="D346" i="3" s="1"/>
  <c r="N448" i="3" a="1"/>
  <c r="N448" i="3" s="1"/>
  <c r="N416" i="3" a="1"/>
  <c r="N416" i="3" s="1"/>
  <c r="P249" i="3"/>
  <c r="P250" i="3" s="1"/>
  <c r="N251" i="3" s="1"/>
  <c r="O248" i="3"/>
  <c r="F314" i="3" s="1" a="1"/>
  <c r="F314" i="3" s="1"/>
  <c r="Q340" i="3"/>
  <c r="O487" i="3"/>
  <c r="W492" i="3"/>
  <c r="W493" i="3"/>
  <c r="Q483" i="3"/>
  <c r="O491" i="3"/>
  <c r="N484" i="3" a="1"/>
  <c r="O499" i="3"/>
  <c r="O503" i="3"/>
  <c r="V405" i="3"/>
  <c r="V406" i="3" s="1"/>
  <c r="V407" i="3"/>
  <c r="N412" i="3" s="1"/>
  <c r="X192" i="3"/>
  <c r="Q341" i="3"/>
  <c r="P343" i="3" s="1" a="1"/>
  <c r="N343" i="3" a="1"/>
  <c r="N343" i="3" s="1"/>
  <c r="N371" i="3"/>
  <c r="P371" i="3" s="1"/>
  <c r="Q371" i="3"/>
  <c r="Q326" i="3"/>
  <c r="N327" i="3" a="1"/>
  <c r="O375" i="3"/>
  <c r="Q355" i="3"/>
  <c r="N357" i="3" s="1" a="1"/>
  <c r="N357" i="3" s="1"/>
  <c r="N356" i="3" a="1"/>
  <c r="N356" i="3" s="1"/>
  <c r="P356" i="3" s="1"/>
  <c r="N326" i="3" a="1"/>
  <c r="N326" i="3" s="1"/>
  <c r="P326" i="3" s="1"/>
  <c r="N372" i="3" a="1"/>
  <c r="N372" i="3" s="1"/>
  <c r="P372" i="3" s="1"/>
  <c r="X193" i="3"/>
  <c r="Z189" i="3" s="1"/>
  <c r="AC191" i="3" s="1"/>
  <c r="AD191" i="3" s="1"/>
  <c r="D314" i="3" a="1"/>
  <c r="D314" i="3" s="1"/>
  <c r="U278" i="3"/>
  <c r="V278" i="3"/>
  <c r="M283" i="3" a="1"/>
  <c r="M283" i="3" s="1"/>
  <c r="W277" i="3"/>
  <c r="W245" i="3"/>
  <c r="X277" i="3"/>
  <c r="X245" i="3"/>
  <c r="O281" i="3"/>
  <c r="U246" i="3"/>
  <c r="V246" i="3"/>
  <c r="G71" i="3"/>
  <c r="S196" i="3" s="1"/>
  <c r="O207" i="3"/>
  <c r="M208" i="3"/>
  <c r="M220" i="3" a="1"/>
  <c r="M220" i="3" s="1"/>
  <c r="P219" i="3"/>
  <c r="N208" i="3"/>
  <c r="P207" i="3"/>
  <c r="P208" i="3" s="1"/>
  <c r="N209" i="3" s="1"/>
  <c r="O220" i="3" a="1"/>
  <c r="O220" i="3" s="1"/>
  <c r="W179" i="3"/>
  <c r="W181" i="3"/>
  <c r="Z176" i="3"/>
  <c r="W194" i="3"/>
  <c r="Z190" i="3" s="1"/>
  <c r="W192" i="3"/>
  <c r="F272" i="3"/>
  <c r="K14" i="3" s="1"/>
  <c r="D273" i="3"/>
  <c r="E274" i="3"/>
  <c r="G274" i="3" s="1"/>
  <c r="E275" i="3" s="1"/>
  <c r="L16" i="3" s="1"/>
  <c r="L15" i="3"/>
  <c r="X147" i="3"/>
  <c r="G73" i="3"/>
  <c r="O83" i="3"/>
  <c r="O86" i="3" s="1"/>
  <c r="AT32" i="3"/>
  <c r="AB108" i="3"/>
  <c r="T173" i="3"/>
  <c r="R180" i="3" s="1" a="1"/>
  <c r="R180" i="3" s="1"/>
  <c r="T155" i="3"/>
  <c r="S172" i="3" s="1" a="1"/>
  <c r="S172" i="3" s="1"/>
  <c r="V113" i="3"/>
  <c r="Y113" i="3"/>
  <c r="E83" i="3"/>
  <c r="D144" i="3" a="1"/>
  <c r="D144" i="3" s="1"/>
  <c r="R91" i="3"/>
  <c r="AR70" i="3"/>
  <c r="AB141" i="3" s="1"/>
  <c r="N84" i="3"/>
  <c r="N85" i="3" s="1"/>
  <c r="N86" i="3" s="1"/>
  <c r="N102" i="3"/>
  <c r="N108" i="3" s="1"/>
  <c r="N120" i="3"/>
  <c r="N150" i="3"/>
  <c r="T130" i="3"/>
  <c r="S131" i="3"/>
  <c r="O131" i="3"/>
  <c r="N140" i="3"/>
  <c r="N136" i="3"/>
  <c r="N143" i="3" s="1"/>
  <c r="R134" i="3"/>
  <c r="AF85" i="3"/>
  <c r="AF89" i="3"/>
  <c r="AH74" i="3"/>
  <c r="AG75" i="3"/>
  <c r="AI75" i="3" s="1"/>
  <c r="AG76" i="3" s="1"/>
  <c r="AI76" i="3" s="1"/>
  <c r="AG77" i="3" s="1"/>
  <c r="AG89" i="3"/>
  <c r="AF47" i="3"/>
  <c r="R65" i="3"/>
  <c r="R63" i="3"/>
  <c r="S60" i="3"/>
  <c r="Q58" i="3"/>
  <c r="R58" i="3"/>
  <c r="E57" i="3"/>
  <c r="AI60" i="3"/>
  <c r="AJ60" i="3"/>
  <c r="AJ58" i="3"/>
  <c r="AJ62" i="3"/>
  <c r="AI58" i="3"/>
  <c r="AH66" i="3"/>
  <c r="AI61" i="3"/>
  <c r="AI63" i="3"/>
  <c r="AI62" i="3"/>
  <c r="AJ59" i="3"/>
  <c r="AI59" i="3"/>
  <c r="AJ63" i="3"/>
  <c r="AJ61" i="3"/>
  <c r="AH36" i="3"/>
  <c r="X22" i="3"/>
  <c r="E59" i="3" s="1"/>
  <c r="X24" i="3"/>
  <c r="E61" i="3" s="1"/>
  <c r="Z21" i="3"/>
  <c r="Z22" i="3" s="1"/>
  <c r="X26" i="3"/>
  <c r="E63" i="3" s="1"/>
  <c r="E46" i="3"/>
  <c r="E44" i="3"/>
  <c r="G43" i="3"/>
  <c r="G45" i="3" s="1"/>
  <c r="E31" i="3"/>
  <c r="G31" i="3" s="1"/>
  <c r="E32" i="3" s="1"/>
  <c r="G32" i="3" s="1"/>
  <c r="E33" i="3" s="1"/>
  <c r="G33" i="3" s="1"/>
  <c r="E34" i="3" s="1"/>
  <c r="G34" i="3" s="1"/>
  <c r="E35" i="3" s="1"/>
  <c r="G35" i="3" s="1"/>
  <c r="E36" i="3" s="1"/>
  <c r="G30" i="3"/>
  <c r="K6" i="3" a="1"/>
  <c r="K6" i="3" s="1"/>
  <c r="AF20" i="3"/>
  <c r="AM19" i="3"/>
  <c r="AG14" i="3"/>
  <c r="AR13" i="3"/>
  <c r="AN13" i="3"/>
  <c r="AS13" i="3"/>
  <c r="G314" i="3" l="1" a="1"/>
  <c r="G314" i="3" s="1"/>
  <c r="G346" i="3" a="1"/>
  <c r="G346" i="3" s="1"/>
  <c r="N252" i="3"/>
  <c r="O448" i="3" a="1"/>
  <c r="O448" i="3" s="1"/>
  <c r="Q448" i="3" a="1"/>
  <c r="Q448" i="3" s="1"/>
  <c r="Q372" i="3"/>
  <c r="P374" i="3" s="1" a="1"/>
  <c r="P374" i="3" s="1"/>
  <c r="H615" i="3" a="1"/>
  <c r="P544" i="3"/>
  <c r="N548" i="3"/>
  <c r="N551" i="3"/>
  <c r="P551" i="3" s="1"/>
  <c r="Q544" i="3"/>
  <c r="N544" i="3"/>
  <c r="N543" i="3"/>
  <c r="Q543" i="3"/>
  <c r="N545" i="3" s="1" a="1"/>
  <c r="N545" i="3" s="1"/>
  <c r="O416" i="3" a="1"/>
  <c r="O416" i="3" s="1"/>
  <c r="F346" i="3" a="1"/>
  <c r="F346" i="3" s="1"/>
  <c r="P448" i="3" a="1"/>
  <c r="P448" i="3" s="1"/>
  <c r="P416" i="3" a="1"/>
  <c r="P416" i="3" s="1"/>
  <c r="Z191" i="3"/>
  <c r="AC194" i="3" s="1"/>
  <c r="AD194" i="3" s="1"/>
  <c r="Q416" i="3" a="1"/>
  <c r="Q416" i="3" s="1"/>
  <c r="N484" i="3"/>
  <c r="P484" i="3" s="1"/>
  <c r="Q484" i="3"/>
  <c r="Q496" i="3"/>
  <c r="N485" i="3" a="1"/>
  <c r="Q514" i="3"/>
  <c r="O514" i="3"/>
  <c r="W495" i="3"/>
  <c r="O513" i="3"/>
  <c r="Q513" i="3" s="1"/>
  <c r="O507" i="3"/>
  <c r="N504" i="3" a="1"/>
  <c r="Q503" i="3"/>
  <c r="N505" i="3" s="1" a="1"/>
  <c r="N505" i="3" s="1"/>
  <c r="P505" i="3" s="1"/>
  <c r="O512" i="3"/>
  <c r="O511" i="3"/>
  <c r="Q511" i="3" s="1"/>
  <c r="W494" i="3"/>
  <c r="Q512" i="3"/>
  <c r="N500" i="3" a="1"/>
  <c r="Q499" i="3"/>
  <c r="N501" i="3" s="1" a="1"/>
  <c r="N501" i="3" s="1"/>
  <c r="P501" i="3" s="1"/>
  <c r="N489" i="3" a="1"/>
  <c r="N489" i="3" s="1"/>
  <c r="Q492" i="3"/>
  <c r="Q493" i="3" s="1"/>
  <c r="N494" i="3" s="1" a="1"/>
  <c r="N494" i="3" s="1"/>
  <c r="Q487" i="3"/>
  <c r="O488" i="3"/>
  <c r="Q491" i="3"/>
  <c r="N492" i="3" a="1"/>
  <c r="V408" i="3"/>
  <c r="P412" i="3" s="1"/>
  <c r="P409" i="3"/>
  <c r="P408" i="3"/>
  <c r="N408" i="3"/>
  <c r="N409" i="3"/>
  <c r="P327" i="3" a="1"/>
  <c r="P327" i="3" s="1"/>
  <c r="P336" i="3" s="1"/>
  <c r="P373" i="3" a="1"/>
  <c r="P373" i="3" s="1"/>
  <c r="P343" i="3"/>
  <c r="Q353" i="3"/>
  <c r="Q354" i="3" s="1"/>
  <c r="P357" i="3"/>
  <c r="N376" i="3"/>
  <c r="P376" i="3"/>
  <c r="N378" i="3"/>
  <c r="P378" i="3" s="1"/>
  <c r="O376" i="3"/>
  <c r="Q375" i="3"/>
  <c r="Q376" i="3" s="1"/>
  <c r="O328" i="3"/>
  <c r="N327" i="3"/>
  <c r="U280" i="3"/>
  <c r="V280" i="3"/>
  <c r="M282" i="3" a="1"/>
  <c r="W246" i="3"/>
  <c r="W278" i="3"/>
  <c r="X278" i="3"/>
  <c r="X246" i="3"/>
  <c r="U248" i="3"/>
  <c r="V248" i="3"/>
  <c r="AA189" i="3"/>
  <c r="AA190" i="3"/>
  <c r="N210" i="3"/>
  <c r="P209" i="3"/>
  <c r="P210" i="3" s="1"/>
  <c r="O208" i="3"/>
  <c r="M209" i="3" s="1"/>
  <c r="E346" i="3" a="1"/>
  <c r="E346" i="3" s="1"/>
  <c r="E314" i="3" a="1"/>
  <c r="E314" i="3" s="1"/>
  <c r="Z194" i="3"/>
  <c r="AA194" i="3" s="1"/>
  <c r="AC178" i="3"/>
  <c r="AD178" i="3" s="1"/>
  <c r="AA176" i="3"/>
  <c r="AD181" i="3"/>
  <c r="AC181" i="3"/>
  <c r="AA178" i="3"/>
  <c r="W185" i="3"/>
  <c r="Z178" i="3"/>
  <c r="F273" i="3"/>
  <c r="D274" i="3"/>
  <c r="K15" i="3" s="1"/>
  <c r="Z177" i="3"/>
  <c r="Z181" i="3" s="1"/>
  <c r="AA181" i="3" s="1"/>
  <c r="AB151" i="3"/>
  <c r="AA151" i="3"/>
  <c r="AD150" i="3"/>
  <c r="AD151" i="3"/>
  <c r="AC151" i="3"/>
  <c r="AB143" i="3"/>
  <c r="AC150" i="3"/>
  <c r="AA143" i="3"/>
  <c r="AD143" i="3"/>
  <c r="AC143" i="3"/>
  <c r="AB144" i="3"/>
  <c r="AA144" i="3"/>
  <c r="AD144" i="3"/>
  <c r="AC144" i="3"/>
  <c r="AB145" i="3"/>
  <c r="AA145" i="3"/>
  <c r="AC145" i="3"/>
  <c r="AD145" i="3"/>
  <c r="AA146" i="3"/>
  <c r="AC146" i="3"/>
  <c r="AD146" i="3"/>
  <c r="AB146" i="3"/>
  <c r="AB147" i="3"/>
  <c r="AA147" i="3"/>
  <c r="AC147" i="3"/>
  <c r="AD147" i="3"/>
  <c r="V148" i="3" a="1"/>
  <c r="V148" i="3" s="1"/>
  <c r="AA148" i="3" s="1"/>
  <c r="O84" i="3"/>
  <c r="N90" i="3" s="1"/>
  <c r="N95" i="3" s="1" a="1"/>
  <c r="N95" i="3" s="1"/>
  <c r="N89" i="3"/>
  <c r="N92" i="3" s="1" a="1"/>
  <c r="N92" i="3" s="1"/>
  <c r="M99" i="3" s="1" a="1"/>
  <c r="O85" i="3"/>
  <c r="AA110" i="3"/>
  <c r="AB110" i="3"/>
  <c r="AD117" i="3"/>
  <c r="AB111" i="3"/>
  <c r="AD110" i="3"/>
  <c r="AC117" i="3"/>
  <c r="AC110" i="3"/>
  <c r="AA111" i="3"/>
  <c r="AA118" i="3"/>
  <c r="AC111" i="3"/>
  <c r="AC118" i="3"/>
  <c r="AD118" i="3"/>
  <c r="AB118" i="3"/>
  <c r="AD111" i="3"/>
  <c r="AB112" i="3"/>
  <c r="AA112" i="3"/>
  <c r="AD112" i="3"/>
  <c r="AC112" i="3"/>
  <c r="T131" i="3"/>
  <c r="S181" i="3" s="1" a="1"/>
  <c r="S181" i="3" s="1"/>
  <c r="AD113" i="3"/>
  <c r="V114" i="3" a="1"/>
  <c r="V114" i="3" s="1"/>
  <c r="AC113" i="3"/>
  <c r="AA113" i="3"/>
  <c r="AB113" i="3"/>
  <c r="AI99" i="3"/>
  <c r="AJ97" i="3"/>
  <c r="AI100" i="3"/>
  <c r="AI98" i="3"/>
  <c r="AI96" i="3"/>
  <c r="AH104" i="3"/>
  <c r="AI97" i="3"/>
  <c r="AJ101" i="3"/>
  <c r="AJ100" i="3"/>
  <c r="AJ99" i="3"/>
  <c r="AI101" i="3"/>
  <c r="AJ98" i="3"/>
  <c r="AJ96" i="3"/>
  <c r="N109" i="3"/>
  <c r="Q108" i="3"/>
  <c r="R124" i="3"/>
  <c r="R95" i="3"/>
  <c r="R93" i="3"/>
  <c r="N141" i="3"/>
  <c r="O141" i="3"/>
  <c r="O142" i="3"/>
  <c r="R135" i="3"/>
  <c r="Z26" i="3"/>
  <c r="G63" i="3" s="1"/>
  <c r="AF75" i="3"/>
  <c r="AG90" i="3"/>
  <c r="AH85" i="3"/>
  <c r="AF86" i="3"/>
  <c r="AG88" i="3"/>
  <c r="N58" i="3"/>
  <c r="N62" i="3" s="1"/>
  <c r="X27" i="3"/>
  <c r="E64" i="3" s="1"/>
  <c r="AF37" i="3"/>
  <c r="AH37" i="3" s="1"/>
  <c r="AF38" i="3" s="1"/>
  <c r="AF39" i="3" s="1"/>
  <c r="AF48" i="3"/>
  <c r="AH47" i="3"/>
  <c r="AI37" i="3"/>
  <c r="AG38" i="3" s="1"/>
  <c r="G58" i="3"/>
  <c r="X23" i="3"/>
  <c r="G59" i="3"/>
  <c r="E50" i="3"/>
  <c r="E48" i="3"/>
  <c r="E49" i="3" s="1"/>
  <c r="E47" i="3"/>
  <c r="G36" i="3"/>
  <c r="G38" i="3"/>
  <c r="E39" i="3" s="1"/>
  <c r="G41" i="3" s="1"/>
  <c r="AI14" i="3"/>
  <c r="AI18" i="3"/>
  <c r="AL14" i="3"/>
  <c r="AP14" i="3"/>
  <c r="AQ14" i="3"/>
  <c r="AH20" i="3"/>
  <c r="AK20" i="3"/>
  <c r="AA191" i="3" l="1"/>
  <c r="H615" i="3"/>
  <c r="H617" i="3" a="1"/>
  <c r="V529" i="3"/>
  <c r="N549" i="3"/>
  <c r="P546" i="3" a="1"/>
  <c r="P545" i="3" a="1"/>
  <c r="P545" i="3" s="1"/>
  <c r="N413" i="3"/>
  <c r="N414" i="3" s="1" a="1"/>
  <c r="N414" i="3" s="1"/>
  <c r="P413" i="3"/>
  <c r="P414" i="3" s="1" a="1"/>
  <c r="P414" i="3" s="1"/>
  <c r="N492" i="3"/>
  <c r="P492" i="3" s="1"/>
  <c r="P494" i="3" s="1" a="1"/>
  <c r="P494" i="3" s="1"/>
  <c r="O493" i="3"/>
  <c r="O518" i="3"/>
  <c r="Q518" i="3"/>
  <c r="O517" i="3"/>
  <c r="Q517" i="3" s="1"/>
  <c r="N504" i="3"/>
  <c r="P504" i="3" s="1"/>
  <c r="Q504" i="3"/>
  <c r="Q505" i="3" s="1"/>
  <c r="N506" i="3" s="1" a="1"/>
  <c r="N506" i="3" s="1"/>
  <c r="Q488" i="3"/>
  <c r="O495" i="3"/>
  <c r="P489" i="3" a="1"/>
  <c r="P489" i="3" s="1"/>
  <c r="Q485" i="3"/>
  <c r="N485" i="3"/>
  <c r="Q507" i="3"/>
  <c r="N509" i="3" s="1" a="1"/>
  <c r="N509" i="3" s="1"/>
  <c r="P509" i="3" s="1"/>
  <c r="N508" i="3" a="1"/>
  <c r="P498" i="3" a="1"/>
  <c r="P498" i="3" s="1"/>
  <c r="Q497" i="3"/>
  <c r="N498" i="3" s="1" a="1"/>
  <c r="N498" i="3" s="1"/>
  <c r="O515" i="3"/>
  <c r="Q515" i="3" s="1"/>
  <c r="Q516" i="3"/>
  <c r="O516" i="3"/>
  <c r="N486" i="3" a="1"/>
  <c r="N486" i="3" s="1"/>
  <c r="Q500" i="3"/>
  <c r="Q501" i="3" s="1"/>
  <c r="N502" i="3" s="1" a="1"/>
  <c r="N502" i="3" s="1"/>
  <c r="N500" i="3"/>
  <c r="P500" i="3" s="1"/>
  <c r="P502" i="3" s="1" a="1"/>
  <c r="P502" i="3" s="1"/>
  <c r="P487" i="3"/>
  <c r="P485" i="3"/>
  <c r="N410" i="3" a="1"/>
  <c r="N410" i="3" s="1"/>
  <c r="N338" i="3"/>
  <c r="P338" i="3" s="1"/>
  <c r="P410" i="3" a="1"/>
  <c r="P410" i="3" s="1"/>
  <c r="N337" i="3"/>
  <c r="P337" i="3" s="1"/>
  <c r="N336" i="3"/>
  <c r="O329" i="3"/>
  <c r="Q328" i="3"/>
  <c r="O330" i="3"/>
  <c r="O331" i="3" s="1"/>
  <c r="O332" i="3" s="1"/>
  <c r="P282" i="3"/>
  <c r="P283" i="3" s="1"/>
  <c r="M282" i="3"/>
  <c r="W195" i="3"/>
  <c r="O209" i="3"/>
  <c r="M212" i="3" s="1" a="1"/>
  <c r="M212" i="3" s="1"/>
  <c r="M210" i="3"/>
  <c r="O210" i="3" s="1"/>
  <c r="M211" i="3" s="1" a="1"/>
  <c r="AA177" i="3"/>
  <c r="W182" i="3" s="1"/>
  <c r="O93" i="3"/>
  <c r="AB148" i="3"/>
  <c r="X148" i="3"/>
  <c r="O96" i="3"/>
  <c r="N93" i="3"/>
  <c r="X114" i="3"/>
  <c r="AA114" i="3"/>
  <c r="AB114" i="3"/>
  <c r="Z27" i="3"/>
  <c r="G64" i="3" s="1"/>
  <c r="Z28" i="3"/>
  <c r="G65" i="3" s="1"/>
  <c r="N96" i="3"/>
  <c r="N142" i="3"/>
  <c r="O150" i="3" s="1"/>
  <c r="F141" i="3" s="1" a="1"/>
  <c r="F141" i="3" s="1"/>
  <c r="O149" i="3"/>
  <c r="F142" i="3" s="1" a="1"/>
  <c r="F142" i="3" s="1"/>
  <c r="AH75" i="3"/>
  <c r="AH86" i="3"/>
  <c r="AI77" i="3"/>
  <c r="AG78" i="3" a="1"/>
  <c r="AG91" i="3" a="1"/>
  <c r="AG91" i="3" s="1"/>
  <c r="D118" i="3" a="1"/>
  <c r="D118" i="3" s="1"/>
  <c r="O102" i="3"/>
  <c r="M99" i="3"/>
  <c r="D114" i="3" a="1"/>
  <c r="D114" i="3" s="1"/>
  <c r="N63" i="3"/>
  <c r="O58" i="3"/>
  <c r="O62" i="3" s="1"/>
  <c r="O63" i="3" s="1"/>
  <c r="AF52" i="3"/>
  <c r="AG52" i="3"/>
  <c r="AH48" i="3"/>
  <c r="Z23" i="3"/>
  <c r="E60" i="3"/>
  <c r="G39" i="3"/>
  <c r="E40" i="3" s="1"/>
  <c r="G40" i="3" s="1"/>
  <c r="E41" i="3" s="1"/>
  <c r="E37" i="3"/>
  <c r="G37" i="3" s="1"/>
  <c r="E38" i="3" s="1"/>
  <c r="G50" i="3"/>
  <c r="E51" i="3" s="1"/>
  <c r="G51" i="3" s="1"/>
  <c r="E52" i="3" s="1"/>
  <c r="G52" i="3"/>
  <c r="AM20" i="3"/>
  <c r="AF21" i="3"/>
  <c r="AN18" i="3"/>
  <c r="AG19" i="3"/>
  <c r="AS18" i="3"/>
  <c r="AR18" i="3"/>
  <c r="AG15" i="3"/>
  <c r="AS14" i="3"/>
  <c r="AN14" i="3"/>
  <c r="AR14" i="3"/>
  <c r="J621" i="3" l="1" a="1"/>
  <c r="J621" i="3" s="1"/>
  <c r="H617" i="3"/>
  <c r="H621" i="3" s="1" a="1"/>
  <c r="H621" i="3" s="1"/>
  <c r="J620" i="3" a="1"/>
  <c r="J620" i="3" s="1"/>
  <c r="P546" i="3"/>
  <c r="V528" i="3" s="1"/>
  <c r="P550" i="3"/>
  <c r="P488" i="3"/>
  <c r="P490" i="3" s="1" a="1"/>
  <c r="P490" i="3" s="1"/>
  <c r="N490" i="3" a="1"/>
  <c r="N490" i="3" s="1"/>
  <c r="P486" i="3" a="1"/>
  <c r="P486" i="3" s="1"/>
  <c r="N508" i="3"/>
  <c r="P508" i="3" s="1"/>
  <c r="Q508" i="3"/>
  <c r="Q509" i="3" s="1"/>
  <c r="P510" i="3" s="1" a="1"/>
  <c r="P510" i="3" s="1"/>
  <c r="O496" i="3"/>
  <c r="Q495" i="3"/>
  <c r="O497" i="3" s="1"/>
  <c r="P506" i="3" a="1"/>
  <c r="P506" i="3" s="1"/>
  <c r="O333" i="3"/>
  <c r="Q333" i="3" s="1"/>
  <c r="Q334" i="3" s="1"/>
  <c r="Q335" i="3" s="1"/>
  <c r="Q332" i="3"/>
  <c r="O334" i="3"/>
  <c r="O335" i="3" s="1"/>
  <c r="Q329" i="3"/>
  <c r="Q330" i="3" s="1"/>
  <c r="Q331" i="3" s="1"/>
  <c r="O336" i="3" s="1"/>
  <c r="Q336" i="3" s="1"/>
  <c r="O337" i="3"/>
  <c r="U279" i="3"/>
  <c r="V279" i="3"/>
  <c r="O282" i="3"/>
  <c r="U247" i="3"/>
  <c r="V247" i="3"/>
  <c r="X195" i="3"/>
  <c r="Z192" i="3" s="1"/>
  <c r="Z193" i="3" s="1"/>
  <c r="M211" i="3"/>
  <c r="O211" i="3" s="1"/>
  <c r="P211" i="3"/>
  <c r="M100" i="3" a="1"/>
  <c r="D115" i="3" s="1" a="1"/>
  <c r="D115" i="3" s="1"/>
  <c r="X182" i="3"/>
  <c r="AC179" i="3" s="1"/>
  <c r="AC180" i="3" s="1"/>
  <c r="X185" i="3" s="1"/>
  <c r="F277" i="3" s="1" a="1"/>
  <c r="F277" i="3" s="1"/>
  <c r="D278" i="3" s="1" a="1"/>
  <c r="D278" i="3" s="1"/>
  <c r="X28" i="3"/>
  <c r="E65" i="3" s="1"/>
  <c r="AC148" i="3"/>
  <c r="AD148" i="3"/>
  <c r="V149" i="3" a="1"/>
  <c r="V149" i="3" s="1"/>
  <c r="AA149" i="3" s="1"/>
  <c r="AC114" i="3"/>
  <c r="V115" i="3" a="1"/>
  <c r="V115" i="3" s="1"/>
  <c r="AD114" i="3"/>
  <c r="AF76" i="3"/>
  <c r="AF90" i="3"/>
  <c r="AI78" i="3" a="1"/>
  <c r="AG78" i="3"/>
  <c r="N104" i="3"/>
  <c r="N105" i="3"/>
  <c r="AF53" i="3" a="1"/>
  <c r="AI38" i="3"/>
  <c r="G60" i="3"/>
  <c r="Z24" i="3"/>
  <c r="X25" i="3"/>
  <c r="E62" i="3" s="1"/>
  <c r="AL19" i="3"/>
  <c r="AI19" i="3"/>
  <c r="AQ19" i="3"/>
  <c r="AP19" i="3"/>
  <c r="AI15" i="3"/>
  <c r="AG17" i="3" s="1"/>
  <c r="AI17" i="3"/>
  <c r="AQ15" i="3"/>
  <c r="AL15" i="3"/>
  <c r="AP15" i="3"/>
  <c r="AK21" i="3"/>
  <c r="V530" i="3" l="1"/>
  <c r="N552" i="3"/>
  <c r="N510" i="3" a="1"/>
  <c r="N510" i="3" s="1"/>
  <c r="X197" i="3"/>
  <c r="W197" i="3"/>
  <c r="F279" i="3" s="1" a="1"/>
  <c r="F279" i="3" s="1"/>
  <c r="D280" i="3" s="1" a="1"/>
  <c r="D280" i="3" s="1"/>
  <c r="O338" i="3"/>
  <c r="Q337" i="3"/>
  <c r="AC192" i="3"/>
  <c r="AC193" i="3" s="1"/>
  <c r="W198" i="3" s="1"/>
  <c r="W247" i="3"/>
  <c r="W279" i="3"/>
  <c r="X247" i="3"/>
  <c r="M284" i="3" a="1"/>
  <c r="M284" i="3" s="1"/>
  <c r="O283" i="3"/>
  <c r="X279" i="3"/>
  <c r="AC189" i="3"/>
  <c r="AC190" i="3" s="1"/>
  <c r="W196" i="3" s="1"/>
  <c r="M100" i="3"/>
  <c r="F114" i="3" a="1"/>
  <c r="F114" i="3" s="1"/>
  <c r="N174" i="3"/>
  <c r="N175" i="3" s="1"/>
  <c r="O174" i="3"/>
  <c r="O175" i="3" s="1"/>
  <c r="P212" i="3"/>
  <c r="O212" i="3"/>
  <c r="O213" i="3" s="1" a="1"/>
  <c r="M213" i="3" a="1"/>
  <c r="M213" i="3" s="1"/>
  <c r="D282" i="3" s="1" a="1"/>
  <c r="D282" i="3" s="1"/>
  <c r="Z179" i="3"/>
  <c r="Z180" i="3" s="1"/>
  <c r="AC176" i="3"/>
  <c r="AC177" i="3" s="1"/>
  <c r="X183" i="3" s="1"/>
  <c r="AB149" i="3"/>
  <c r="X149" i="3"/>
  <c r="AB115" i="3"/>
  <c r="AA115" i="3"/>
  <c r="X115" i="3"/>
  <c r="AF91" i="3" a="1"/>
  <c r="AF77" i="3"/>
  <c r="AF78" i="3" s="1" a="1"/>
  <c r="AH76" i="3"/>
  <c r="AG50" i="3"/>
  <c r="AG53" i="3" s="1" a="1"/>
  <c r="AG53" i="3" s="1"/>
  <c r="AG39" i="3"/>
  <c r="AI78" i="3"/>
  <c r="O105" i="3"/>
  <c r="D116" i="3" s="1" a="1"/>
  <c r="D116" i="3" s="1"/>
  <c r="O104" i="3"/>
  <c r="F118" i="3" s="1" a="1"/>
  <c r="F118" i="3" s="1"/>
  <c r="AF53" i="3"/>
  <c r="AF40" i="3" a="1"/>
  <c r="AH38" i="3"/>
  <c r="Z25" i="3"/>
  <c r="G62" i="3" s="1"/>
  <c r="G61" i="3"/>
  <c r="AQ17" i="3"/>
  <c r="AP17" i="3"/>
  <c r="AL17" i="3"/>
  <c r="AG18" i="3"/>
  <c r="AN17" i="3"/>
  <c r="AR17" i="3"/>
  <c r="AS17" i="3"/>
  <c r="AN15" i="3"/>
  <c r="AS15" i="3"/>
  <c r="AR15" i="3"/>
  <c r="AN19" i="3"/>
  <c r="AG20" i="3"/>
  <c r="AR19" i="3"/>
  <c r="AS19" i="3"/>
  <c r="P552" i="3" l="1"/>
  <c r="P553" i="3" s="1" a="1"/>
  <c r="P553" i="3" s="1"/>
  <c r="N553" i="3" a="1"/>
  <c r="N553" i="3" s="1"/>
  <c r="X198" i="3"/>
  <c r="F280" i="3" s="1" a="1"/>
  <c r="F280" i="3" s="1"/>
  <c r="D281" i="3" s="1" a="1"/>
  <c r="D281" i="3" s="1"/>
  <c r="Q338" i="3"/>
  <c r="P339" i="3" s="1" a="1"/>
  <c r="P339" i="3" s="1"/>
  <c r="N345" i="3" s="1"/>
  <c r="P345" i="3" s="1"/>
  <c r="N339" i="3" a="1"/>
  <c r="U281" i="3"/>
  <c r="V281" i="3"/>
  <c r="O284" i="3" a="1"/>
  <c r="W248" i="3"/>
  <c r="W280" i="3"/>
  <c r="X280" i="3"/>
  <c r="X248" i="3"/>
  <c r="U249" i="3"/>
  <c r="V249" i="3"/>
  <c r="X196" i="3"/>
  <c r="D279" i="3" s="1" a="1"/>
  <c r="D279" i="3" s="1"/>
  <c r="F281" i="3" s="1" a="1"/>
  <c r="F281" i="3" s="1"/>
  <c r="N177" i="3"/>
  <c r="F157" i="3" s="1" a="1"/>
  <c r="F157" i="3" s="1"/>
  <c r="D157" i="3" a="1"/>
  <c r="D157" i="3" s="1"/>
  <c r="F156" i="3" a="1"/>
  <c r="F156" i="3" s="1"/>
  <c r="O213" i="3"/>
  <c r="F282" i="3" s="1" a="1"/>
  <c r="F282" i="3" s="1"/>
  <c r="P214" i="3"/>
  <c r="P215" i="3" s="1"/>
  <c r="N216" i="3" s="1"/>
  <c r="N217" i="3" s="1"/>
  <c r="E282" i="3" s="1" a="1"/>
  <c r="E282" i="3" s="1"/>
  <c r="Y49" i="3"/>
  <c r="X52" i="3" s="1"/>
  <c r="Y52" i="3" s="1"/>
  <c r="W183" i="3"/>
  <c r="D276" i="3" s="1" a="1"/>
  <c r="D276" i="3" s="1"/>
  <c r="F278" i="3" s="1" a="1"/>
  <c r="F278" i="3" s="1"/>
  <c r="X184" i="3"/>
  <c r="W184" i="3"/>
  <c r="AC149" i="3"/>
  <c r="AD149" i="3"/>
  <c r="V150" i="3" a="1"/>
  <c r="V150" i="3" s="1"/>
  <c r="AA150" i="3" s="1"/>
  <c r="AC115" i="3"/>
  <c r="AD115" i="3"/>
  <c r="V116" i="3" a="1"/>
  <c r="V116" i="3" s="1"/>
  <c r="F155" i="3" a="1"/>
  <c r="F155" i="3" s="1"/>
  <c r="D156" i="3" a="1"/>
  <c r="D156" i="3" s="1"/>
  <c r="D117" i="3" a="1"/>
  <c r="D117" i="3" s="1"/>
  <c r="AF78" i="3"/>
  <c r="AF91" i="3"/>
  <c r="AH78" i="3" a="1"/>
  <c r="AF40" i="3"/>
  <c r="AH40" i="3" a="1"/>
  <c r="AI39" i="3"/>
  <c r="AG40" i="3" a="1"/>
  <c r="AL20" i="3"/>
  <c r="AP20" i="3"/>
  <c r="AQ20" i="3"/>
  <c r="AL16" i="3"/>
  <c r="AQ16" i="3"/>
  <c r="AP16" i="3"/>
  <c r="AL18" i="3"/>
  <c r="AI20" i="3"/>
  <c r="AP18" i="3"/>
  <c r="AQ18" i="3"/>
  <c r="X353" i="3" l="1"/>
  <c r="N339" i="3"/>
  <c r="N344" i="3" s="1"/>
  <c r="P344" i="3" s="1"/>
  <c r="O340" i="3"/>
  <c r="O284" i="3"/>
  <c r="P285" i="3"/>
  <c r="F276" i="3" a="1"/>
  <c r="F276" i="3" s="1"/>
  <c r="D277" i="3" s="1" a="1"/>
  <c r="D277" i="3" s="1"/>
  <c r="G282" i="3" a="1"/>
  <c r="G282" i="3" s="1"/>
  <c r="AB150" i="3"/>
  <c r="AA116" i="3"/>
  <c r="X116" i="3"/>
  <c r="AB116" i="3"/>
  <c r="AH78" i="3"/>
  <c r="AG40" i="3"/>
  <c r="AI40" i="3" a="1"/>
  <c r="AH40" i="3"/>
  <c r="AG21" i="3"/>
  <c r="AN20" i="3"/>
  <c r="AR20" i="3"/>
  <c r="AS20" i="3"/>
  <c r="O341" i="3" l="1"/>
  <c r="P342" i="3" s="1" a="1"/>
  <c r="P342" i="3" s="1"/>
  <c r="O344" i="3"/>
  <c r="N342" i="3" a="1"/>
  <c r="N342" i="3" s="1"/>
  <c r="O352" i="3"/>
  <c r="O351" i="3"/>
  <c r="P286" i="3"/>
  <c r="W282" i="3"/>
  <c r="W250" i="3"/>
  <c r="X282" i="3"/>
  <c r="X250" i="3"/>
  <c r="W249" i="3"/>
  <c r="W281" i="3"/>
  <c r="X281" i="3"/>
  <c r="X249" i="3"/>
  <c r="AC116" i="3"/>
  <c r="AD116" i="3"/>
  <c r="V117" i="3" a="1"/>
  <c r="V117" i="3" s="1"/>
  <c r="AI40" i="3"/>
  <c r="AI21" i="3"/>
  <c r="V361" i="3" s="1" a="1"/>
  <c r="AL21" i="3"/>
  <c r="AP21" i="3"/>
  <c r="AQ21" i="3"/>
  <c r="O345" i="3" l="1"/>
  <c r="O346" i="3" s="1"/>
  <c r="Q344" i="3"/>
  <c r="V361" i="3"/>
  <c r="AA362" i="3" a="1"/>
  <c r="AA362" i="3" s="1"/>
  <c r="AC362" i="3" a="1"/>
  <c r="AC362" i="3" s="1"/>
  <c r="N287" i="3"/>
  <c r="W283" i="3"/>
  <c r="W251" i="3"/>
  <c r="X283" i="3"/>
  <c r="X251" i="3"/>
  <c r="AB117" i="3"/>
  <c r="AA117" i="3"/>
  <c r="AN21" i="3"/>
  <c r="AR21" i="3"/>
  <c r="AS21" i="3"/>
  <c r="Q345" i="3" l="1"/>
  <c r="N350" i="3" s="1" a="1"/>
  <c r="N350" i="3" s="1"/>
  <c r="P349" i="3" a="1"/>
  <c r="O347" i="3"/>
  <c r="Q346" i="3"/>
  <c r="N348" i="3" s="1" a="1"/>
  <c r="N348" i="3" s="1"/>
  <c r="N349" i="3" a="1"/>
  <c r="N349" i="3" s="1"/>
  <c r="D12" i="3" a="1"/>
  <c r="G80" i="3" s="1"/>
  <c r="U284" i="3"/>
  <c r="V284" i="3"/>
  <c r="N288" i="3"/>
  <c r="U252" i="3"/>
  <c r="V252" i="3"/>
  <c r="Q347" i="3" l="1"/>
  <c r="P348" i="3" s="1" a="1"/>
  <c r="P348" i="3" s="1"/>
  <c r="P350" i="3" a="1"/>
  <c r="P349" i="3"/>
  <c r="W354" i="3"/>
  <c r="X354" i="3" s="1"/>
  <c r="F80" i="3"/>
  <c r="F84" i="3" s="1"/>
  <c r="D82" i="3"/>
  <c r="D86" i="3" s="1"/>
  <c r="D81" i="3"/>
  <c r="D85" i="3" s="1"/>
  <c r="E81" i="3"/>
  <c r="E85" i="3" s="1"/>
  <c r="E82" i="3"/>
  <c r="E86" i="3" s="1"/>
  <c r="D12" i="3"/>
  <c r="F79" i="3"/>
  <c r="F83" i="3" s="1"/>
  <c r="G79" i="3"/>
  <c r="G83" i="3" s="1"/>
  <c r="G84" i="3"/>
  <c r="U285" i="3"/>
  <c r="V285" i="3"/>
  <c r="U253" i="3"/>
  <c r="V253" i="3"/>
  <c r="X357" i="3" l="1"/>
  <c r="P350" i="3"/>
  <c r="W355" i="3"/>
  <c r="X355" i="3"/>
  <c r="X358" i="3" s="1"/>
  <c r="N22" i="3"/>
  <c r="AG177" i="3" s="1"/>
  <c r="AH177" i="3" s="1"/>
  <c r="AG180" i="3" s="1"/>
  <c r="AH180" i="3" s="1"/>
  <c r="AG179" i="3" l="1"/>
  <c r="AH179" i="3" s="1"/>
  <c r="Z203" i="3" s="1" a="1"/>
  <c r="P352" i="3" a="1"/>
  <c r="P352" i="3" s="1"/>
  <c r="N354" i="3" a="1"/>
  <c r="N354" i="3" s="1"/>
  <c r="P354" i="3" s="1"/>
  <c r="P351" i="3" a="1"/>
  <c r="P351" i="3" s="1"/>
  <c r="N353" i="3" a="1"/>
  <c r="N353" i="3" s="1"/>
  <c r="P353" i="3" s="1"/>
  <c r="O22" i="3"/>
  <c r="O164" i="3" s="1"/>
  <c r="F150" i="3" s="1" a="1"/>
  <c r="F150" i="3" s="1"/>
  <c r="S184" i="3"/>
  <c r="S185" i="3" s="1"/>
  <c r="N159" i="3"/>
  <c r="N160" i="3" s="1"/>
  <c r="N23" i="3"/>
  <c r="S24" i="3" s="1"/>
  <c r="S25" i="3" s="1"/>
  <c r="Q322" i="3"/>
  <c r="Q356" i="3"/>
  <c r="Q23" i="3"/>
  <c r="S159" i="3" l="1"/>
  <c r="T159" i="3" s="1"/>
  <c r="O165" i="3"/>
  <c r="F149" i="3" s="1" a="1"/>
  <c r="F149" i="3" s="1"/>
  <c r="P23" i="3"/>
  <c r="O23" i="3" s="1"/>
  <c r="M132" i="3" s="1" a="1"/>
  <c r="Q357" i="3"/>
  <c r="P358" i="3" s="1" a="1"/>
  <c r="N358" i="3" a="1"/>
  <c r="Z203" i="3"/>
  <c r="AG296" i="3"/>
  <c r="AJ211" i="3"/>
  <c r="AJ223" i="3"/>
  <c r="AJ235" i="3"/>
  <c r="AJ247" i="3"/>
  <c r="AJ259" i="3"/>
  <c r="AJ271" i="3"/>
  <c r="AJ283" i="3"/>
  <c r="AI208" i="3"/>
  <c r="AI220" i="3"/>
  <c r="AI232" i="3"/>
  <c r="AI244" i="3"/>
  <c r="AI256" i="3"/>
  <c r="AI268" i="3"/>
  <c r="AI280" i="3"/>
  <c r="AH205" i="3"/>
  <c r="AH217" i="3"/>
  <c r="AH229" i="3"/>
  <c r="AH241" i="3"/>
  <c r="AH253" i="3"/>
  <c r="AH265" i="3"/>
  <c r="AH277" i="3"/>
  <c r="AH289" i="3"/>
  <c r="AG214" i="3"/>
  <c r="AG226" i="3"/>
  <c r="AG238" i="3"/>
  <c r="AG250" i="3"/>
  <c r="AG262" i="3"/>
  <c r="AG274" i="3"/>
  <c r="AG286" i="3"/>
  <c r="AE211" i="3"/>
  <c r="AE223" i="3"/>
  <c r="AE235" i="3"/>
  <c r="AE247" i="3"/>
  <c r="AE259" i="3"/>
  <c r="AE271" i="3"/>
  <c r="AE283" i="3"/>
  <c r="AC205" i="3"/>
  <c r="AC217" i="3"/>
  <c r="AC229" i="3"/>
  <c r="AC241" i="3"/>
  <c r="AC253" i="3"/>
  <c r="AC265" i="3"/>
  <c r="AC277" i="3"/>
  <c r="AC289" i="3"/>
  <c r="AG297" i="3"/>
  <c r="AJ212" i="3"/>
  <c r="AJ224" i="3"/>
  <c r="AJ248" i="3"/>
  <c r="AJ272" i="3"/>
  <c r="AJ284" i="3"/>
  <c r="AI221" i="3"/>
  <c r="AI233" i="3"/>
  <c r="AI257" i="3"/>
  <c r="AI281" i="3"/>
  <c r="AH218" i="3"/>
  <c r="AH230" i="3"/>
  <c r="AH254" i="3"/>
  <c r="AH266" i="3"/>
  <c r="AH278" i="3"/>
  <c r="AG215" i="3"/>
  <c r="AH292" i="3"/>
  <c r="AJ236" i="3"/>
  <c r="AJ260" i="3"/>
  <c r="AI209" i="3"/>
  <c r="AI245" i="3"/>
  <c r="AI269" i="3"/>
  <c r="AH206" i="3"/>
  <c r="AH242" i="3"/>
  <c r="AH203" i="3"/>
  <c r="AG239" i="3"/>
  <c r="AG251" i="3"/>
  <c r="AG263" i="3"/>
  <c r="AG275" i="3"/>
  <c r="AG287" i="3"/>
  <c r="AE212" i="3"/>
  <c r="AE236" i="3"/>
  <c r="AE248" i="3"/>
  <c r="AE260" i="3"/>
  <c r="AE284" i="3"/>
  <c r="AC206" i="3"/>
  <c r="AC230" i="3"/>
  <c r="AC266" i="3"/>
  <c r="AC203" i="3"/>
  <c r="AH293" i="3"/>
  <c r="AH294" i="3"/>
  <c r="AC292" i="3"/>
  <c r="AJ214" i="3"/>
  <c r="AJ226" i="3"/>
  <c r="AJ238" i="3"/>
  <c r="AJ250" i="3"/>
  <c r="AJ262" i="3"/>
  <c r="AJ274" i="3"/>
  <c r="AJ286" i="3"/>
  <c r="AI211" i="3"/>
  <c r="AI223" i="3"/>
  <c r="AI235" i="3"/>
  <c r="AI247" i="3"/>
  <c r="AI259" i="3"/>
  <c r="AI271" i="3"/>
  <c r="AI283" i="3"/>
  <c r="AH208" i="3"/>
  <c r="AH220" i="3"/>
  <c r="AH232" i="3"/>
  <c r="AH244" i="3"/>
  <c r="AH256" i="3"/>
  <c r="AH268" i="3"/>
  <c r="AH280" i="3"/>
  <c r="AG205" i="3"/>
  <c r="AG217" i="3"/>
  <c r="AG229" i="3"/>
  <c r="AG241" i="3"/>
  <c r="AG253" i="3"/>
  <c r="AG265" i="3"/>
  <c r="AG277" i="3"/>
  <c r="AG289" i="3"/>
  <c r="AE214" i="3"/>
  <c r="AE226" i="3"/>
  <c r="AE238" i="3"/>
  <c r="AE250" i="3"/>
  <c r="AE262" i="3"/>
  <c r="AE274" i="3"/>
  <c r="AE286" i="3"/>
  <c r="AC208" i="3"/>
  <c r="AC220" i="3"/>
  <c r="AC232" i="3"/>
  <c r="AC244" i="3"/>
  <c r="AC256" i="3"/>
  <c r="AC268" i="3"/>
  <c r="AC280" i="3"/>
  <c r="AE218" i="3"/>
  <c r="AC224" i="3"/>
  <c r="AH295" i="3"/>
  <c r="AC293" i="3"/>
  <c r="AJ215" i="3"/>
  <c r="AJ227" i="3"/>
  <c r="AJ239" i="3"/>
  <c r="AJ251" i="3"/>
  <c r="AJ263" i="3"/>
  <c r="AJ275" i="3"/>
  <c r="AJ287" i="3"/>
  <c r="AI212" i="3"/>
  <c r="AI224" i="3"/>
  <c r="AI236" i="3"/>
  <c r="AI248" i="3"/>
  <c r="AI260" i="3"/>
  <c r="AI272" i="3"/>
  <c r="AI284" i="3"/>
  <c r="AH209" i="3"/>
  <c r="AH221" i="3"/>
  <c r="AH233" i="3"/>
  <c r="AH245" i="3"/>
  <c r="AH257" i="3"/>
  <c r="AH269" i="3"/>
  <c r="AH281" i="3"/>
  <c r="AG206" i="3"/>
  <c r="AG218" i="3"/>
  <c r="AG230" i="3"/>
  <c r="AG242" i="3"/>
  <c r="AG254" i="3"/>
  <c r="AG266" i="3"/>
  <c r="AG278" i="3"/>
  <c r="AG203" i="3"/>
  <c r="AE215" i="3"/>
  <c r="AE227" i="3"/>
  <c r="AE239" i="3"/>
  <c r="AE251" i="3"/>
  <c r="AE263" i="3"/>
  <c r="AE275" i="3"/>
  <c r="AE287" i="3"/>
  <c r="AC209" i="3"/>
  <c r="AC221" i="3"/>
  <c r="AC233" i="3"/>
  <c r="AC245" i="3"/>
  <c r="AC257" i="3"/>
  <c r="AC269" i="3"/>
  <c r="AC281" i="3"/>
  <c r="AH236" i="3"/>
  <c r="AE266" i="3"/>
  <c r="AC212" i="3"/>
  <c r="AC260" i="3"/>
  <c r="AH296" i="3"/>
  <c r="AC294" i="3"/>
  <c r="AJ204" i="3"/>
  <c r="AJ216" i="3"/>
  <c r="AJ228" i="3"/>
  <c r="AJ240" i="3"/>
  <c r="AJ252" i="3"/>
  <c r="AJ264" i="3"/>
  <c r="AJ276" i="3"/>
  <c r="AJ288" i="3"/>
  <c r="AI213" i="3"/>
  <c r="AI225" i="3"/>
  <c r="AI237" i="3"/>
  <c r="AI249" i="3"/>
  <c r="AI261" i="3"/>
  <c r="AI273" i="3"/>
  <c r="AI285" i="3"/>
  <c r="AH210" i="3"/>
  <c r="AH222" i="3"/>
  <c r="AH234" i="3"/>
  <c r="AH246" i="3"/>
  <c r="AH258" i="3"/>
  <c r="AH270" i="3"/>
  <c r="AH282" i="3"/>
  <c r="AG207" i="3"/>
  <c r="AG219" i="3"/>
  <c r="AG231" i="3"/>
  <c r="AG243" i="3"/>
  <c r="AG255" i="3"/>
  <c r="AG267" i="3"/>
  <c r="AG279" i="3"/>
  <c r="AE204" i="3"/>
  <c r="AE216" i="3"/>
  <c r="AE228" i="3"/>
  <c r="AE240" i="3"/>
  <c r="AE252" i="3"/>
  <c r="AE264" i="3"/>
  <c r="AE276" i="3"/>
  <c r="AE288" i="3"/>
  <c r="AC210" i="3"/>
  <c r="AC222" i="3"/>
  <c r="AC234" i="3"/>
  <c r="AC246" i="3"/>
  <c r="AC258" i="3"/>
  <c r="AC270" i="3"/>
  <c r="AC282" i="3"/>
  <c r="AJ230" i="3"/>
  <c r="AH284" i="3"/>
  <c r="AG245" i="3"/>
  <c r="AG269" i="3"/>
  <c r="AE206" i="3"/>
  <c r="AE254" i="3"/>
  <c r="AE203" i="3"/>
  <c r="AC248" i="3"/>
  <c r="AC272" i="3"/>
  <c r="AH297" i="3"/>
  <c r="AC295" i="3"/>
  <c r="AJ205" i="3"/>
  <c r="AJ217" i="3"/>
  <c r="AJ229" i="3"/>
  <c r="AJ241" i="3"/>
  <c r="AJ253" i="3"/>
  <c r="AJ265" i="3"/>
  <c r="AJ277" i="3"/>
  <c r="AJ289" i="3"/>
  <c r="AI214" i="3"/>
  <c r="AI226" i="3"/>
  <c r="AI238" i="3"/>
  <c r="AI250" i="3"/>
  <c r="AI262" i="3"/>
  <c r="AI274" i="3"/>
  <c r="AI286" i="3"/>
  <c r="AH211" i="3"/>
  <c r="AH223" i="3"/>
  <c r="AH235" i="3"/>
  <c r="AH247" i="3"/>
  <c r="AH259" i="3"/>
  <c r="AH271" i="3"/>
  <c r="AH283" i="3"/>
  <c r="AG208" i="3"/>
  <c r="AG220" i="3"/>
  <c r="AG232" i="3"/>
  <c r="AG244" i="3"/>
  <c r="AG256" i="3"/>
  <c r="AG268" i="3"/>
  <c r="AG280" i="3"/>
  <c r="AE205" i="3"/>
  <c r="AE217" i="3"/>
  <c r="AE229" i="3"/>
  <c r="AE241" i="3"/>
  <c r="AE253" i="3"/>
  <c r="AE265" i="3"/>
  <c r="AE277" i="3"/>
  <c r="AE289" i="3"/>
  <c r="AC211" i="3"/>
  <c r="AC223" i="3"/>
  <c r="AC235" i="3"/>
  <c r="AC247" i="3"/>
  <c r="AC259" i="3"/>
  <c r="AC271" i="3"/>
  <c r="AC283" i="3"/>
  <c r="AE230" i="3"/>
  <c r="AC284" i="3"/>
  <c r="AH298" i="3"/>
  <c r="AC296" i="3"/>
  <c r="AJ206" i="3"/>
  <c r="AJ218" i="3"/>
  <c r="AJ242" i="3"/>
  <c r="AJ254" i="3"/>
  <c r="AJ266" i="3"/>
  <c r="AJ278" i="3"/>
  <c r="AJ203" i="3"/>
  <c r="AI215" i="3"/>
  <c r="AI227" i="3"/>
  <c r="AI239" i="3"/>
  <c r="AI251" i="3"/>
  <c r="AI263" i="3"/>
  <c r="AI275" i="3"/>
  <c r="AI287" i="3"/>
  <c r="AH212" i="3"/>
  <c r="AH224" i="3"/>
  <c r="AH248" i="3"/>
  <c r="AH260" i="3"/>
  <c r="AH272" i="3"/>
  <c r="AG209" i="3"/>
  <c r="AG221" i="3"/>
  <c r="AG233" i="3"/>
  <c r="AG257" i="3"/>
  <c r="AG281" i="3"/>
  <c r="AE242" i="3"/>
  <c r="AE278" i="3"/>
  <c r="AC236" i="3"/>
  <c r="AG292" i="3"/>
  <c r="AC297" i="3"/>
  <c r="AJ207" i="3"/>
  <c r="AJ219" i="3"/>
  <c r="AJ231" i="3"/>
  <c r="AG293" i="3"/>
  <c r="AC298" i="3"/>
  <c r="AG294" i="3"/>
  <c r="AJ209" i="3"/>
  <c r="AG295" i="3"/>
  <c r="AJ210" i="3"/>
  <c r="AJ222" i="3"/>
  <c r="AJ234" i="3"/>
  <c r="AJ246" i="3"/>
  <c r="AJ258" i="3"/>
  <c r="AJ270" i="3"/>
  <c r="AJ282" i="3"/>
  <c r="AI207" i="3"/>
  <c r="AI219" i="3"/>
  <c r="AI231" i="3"/>
  <c r="AI243" i="3"/>
  <c r="AI255" i="3"/>
  <c r="AI267" i="3"/>
  <c r="AI279" i="3"/>
  <c r="AH204" i="3"/>
  <c r="AH216" i="3"/>
  <c r="AH228" i="3"/>
  <c r="AH240" i="3"/>
  <c r="AH252" i="3"/>
  <c r="AH264" i="3"/>
  <c r="AH276" i="3"/>
  <c r="AH288" i="3"/>
  <c r="AG213" i="3"/>
  <c r="AG225" i="3"/>
  <c r="AG237" i="3"/>
  <c r="AG249" i="3"/>
  <c r="AG261" i="3"/>
  <c r="AG273" i="3"/>
  <c r="AG285" i="3"/>
  <c r="AE210" i="3"/>
  <c r="AE222" i="3"/>
  <c r="AE234" i="3"/>
  <c r="AE246" i="3"/>
  <c r="AE258" i="3"/>
  <c r="AE270" i="3"/>
  <c r="AE282" i="3"/>
  <c r="AC204" i="3"/>
  <c r="AC216" i="3"/>
  <c r="AC228" i="3"/>
  <c r="AC240" i="3"/>
  <c r="AC252" i="3"/>
  <c r="AC264" i="3"/>
  <c r="AC276" i="3"/>
  <c r="AC288" i="3"/>
  <c r="AG227" i="3"/>
  <c r="AE224" i="3"/>
  <c r="AE272" i="3"/>
  <c r="AC218" i="3"/>
  <c r="AC242" i="3"/>
  <c r="AC254" i="3"/>
  <c r="AC278" i="3"/>
  <c r="AJ244" i="3"/>
  <c r="AJ280" i="3"/>
  <c r="AI229" i="3"/>
  <c r="AI265" i="3"/>
  <c r="AH214" i="3"/>
  <c r="AH250" i="3"/>
  <c r="AH286" i="3"/>
  <c r="AG235" i="3"/>
  <c r="AG271" i="3"/>
  <c r="AE220" i="3"/>
  <c r="AE256" i="3"/>
  <c r="AC226" i="3"/>
  <c r="AC262" i="3"/>
  <c r="AG298" i="3"/>
  <c r="AJ245" i="3"/>
  <c r="AJ281" i="3"/>
  <c r="AI230" i="3"/>
  <c r="AI266" i="3"/>
  <c r="AH215" i="3"/>
  <c r="AH251" i="3"/>
  <c r="AH287" i="3"/>
  <c r="AG236" i="3"/>
  <c r="AG272" i="3"/>
  <c r="AE221" i="3"/>
  <c r="AE257" i="3"/>
  <c r="AC227" i="3"/>
  <c r="AC263" i="3"/>
  <c r="AJ249" i="3"/>
  <c r="AJ285" i="3"/>
  <c r="AI234" i="3"/>
  <c r="AI270" i="3"/>
  <c r="AH219" i="3"/>
  <c r="AH255" i="3"/>
  <c r="AG204" i="3"/>
  <c r="AG240" i="3"/>
  <c r="AG276" i="3"/>
  <c r="AE225" i="3"/>
  <c r="AE261" i="3"/>
  <c r="AC231" i="3"/>
  <c r="AC267" i="3"/>
  <c r="AC250" i="3"/>
  <c r="AI218" i="3"/>
  <c r="AG224" i="3"/>
  <c r="AH207" i="3"/>
  <c r="AG264" i="3"/>
  <c r="AJ208" i="3"/>
  <c r="AJ255" i="3"/>
  <c r="AI204" i="3"/>
  <c r="AI240" i="3"/>
  <c r="AI276" i="3"/>
  <c r="AH225" i="3"/>
  <c r="AH261" i="3"/>
  <c r="AG210" i="3"/>
  <c r="AG246" i="3"/>
  <c r="AG282" i="3"/>
  <c r="AE231" i="3"/>
  <c r="AE267" i="3"/>
  <c r="AC237" i="3"/>
  <c r="AC273" i="3"/>
  <c r="AC238" i="3"/>
  <c r="AJ267" i="3"/>
  <c r="AH273" i="3"/>
  <c r="AE243" i="3"/>
  <c r="AC213" i="3"/>
  <c r="AC286" i="3"/>
  <c r="AI203" i="3"/>
  <c r="AG260" i="3"/>
  <c r="AC215" i="3"/>
  <c r="AI258" i="3"/>
  <c r="AE285" i="3"/>
  <c r="AJ213" i="3"/>
  <c r="AJ256" i="3"/>
  <c r="AI205" i="3"/>
  <c r="AI241" i="3"/>
  <c r="AI277" i="3"/>
  <c r="AH226" i="3"/>
  <c r="AH262" i="3"/>
  <c r="AG211" i="3"/>
  <c r="AG247" i="3"/>
  <c r="AG283" i="3"/>
  <c r="AE232" i="3"/>
  <c r="AE268" i="3"/>
  <c r="AC274" i="3"/>
  <c r="AJ225" i="3"/>
  <c r="AG258" i="3"/>
  <c r="AI254" i="3"/>
  <c r="AH239" i="3"/>
  <c r="AH275" i="3"/>
  <c r="AE281" i="3"/>
  <c r="AJ273" i="3"/>
  <c r="AG228" i="3"/>
  <c r="AC219" i="3"/>
  <c r="AJ220" i="3"/>
  <c r="AJ257" i="3"/>
  <c r="AI206" i="3"/>
  <c r="AI242" i="3"/>
  <c r="AI278" i="3"/>
  <c r="AH227" i="3"/>
  <c r="AH263" i="3"/>
  <c r="AG212" i="3"/>
  <c r="AG248" i="3"/>
  <c r="AG284" i="3"/>
  <c r="AE233" i="3"/>
  <c r="AE269" i="3"/>
  <c r="AC239" i="3"/>
  <c r="AC275" i="3"/>
  <c r="AC243" i="3"/>
  <c r="AI216" i="3"/>
  <c r="AH237" i="3"/>
  <c r="AE207" i="3"/>
  <c r="AC285" i="3"/>
  <c r="AJ233" i="3"/>
  <c r="AE245" i="3"/>
  <c r="AC287" i="3"/>
  <c r="AH279" i="3"/>
  <c r="AJ221" i="3"/>
  <c r="AJ261" i="3"/>
  <c r="AI210" i="3"/>
  <c r="AI246" i="3"/>
  <c r="AI282" i="3"/>
  <c r="AH231" i="3"/>
  <c r="AH267" i="3"/>
  <c r="AG216" i="3"/>
  <c r="AG252" i="3"/>
  <c r="AG288" i="3"/>
  <c r="AE237" i="3"/>
  <c r="AE273" i="3"/>
  <c r="AC207" i="3"/>
  <c r="AC279" i="3"/>
  <c r="AI252" i="3"/>
  <c r="AI288" i="3"/>
  <c r="AG222" i="3"/>
  <c r="AE279" i="3"/>
  <c r="AC249" i="3"/>
  <c r="AJ269" i="3"/>
  <c r="AE209" i="3"/>
  <c r="AC251" i="3"/>
  <c r="AI222" i="3"/>
  <c r="AE249" i="3"/>
  <c r="AC255" i="3"/>
  <c r="AJ232" i="3"/>
  <c r="AJ268" i="3"/>
  <c r="AI217" i="3"/>
  <c r="AI253" i="3"/>
  <c r="AI289" i="3"/>
  <c r="AH238" i="3"/>
  <c r="AH274" i="3"/>
  <c r="AG223" i="3"/>
  <c r="AG259" i="3"/>
  <c r="AE208" i="3"/>
  <c r="AE244" i="3"/>
  <c r="AE280" i="3"/>
  <c r="AC214" i="3"/>
  <c r="AH243" i="3"/>
  <c r="AJ243" i="3"/>
  <c r="AJ279" i="3"/>
  <c r="AI228" i="3"/>
  <c r="AI264" i="3"/>
  <c r="AH213" i="3"/>
  <c r="AH249" i="3"/>
  <c r="AH285" i="3"/>
  <c r="AG234" i="3"/>
  <c r="AG270" i="3"/>
  <c r="AE219" i="3"/>
  <c r="AE255" i="3"/>
  <c r="AC225" i="3"/>
  <c r="AC261" i="3"/>
  <c r="AJ237" i="3"/>
  <c r="AE213" i="3"/>
  <c r="O160" i="3"/>
  <c r="O169" i="3" s="1"/>
  <c r="F152" i="3" s="1" a="1"/>
  <c r="F152" i="3" s="1"/>
  <c r="O159" i="3" l="1"/>
  <c r="N358" i="3"/>
  <c r="Q377" i="3"/>
  <c r="Q378" i="3" s="1"/>
  <c r="O377" i="3"/>
  <c r="T134" i="3"/>
  <c r="M132" i="3"/>
  <c r="S134" i="3"/>
  <c r="S135" i="3" s="1"/>
  <c r="N116" i="3" a="1"/>
  <c r="T24" i="3"/>
  <c r="T25" i="3" s="1"/>
  <c r="Q25" i="3" s="1"/>
  <c r="P358" i="3"/>
  <c r="AD360" i="3"/>
  <c r="D465" i="3" a="1"/>
  <c r="D465" i="3" s="1"/>
  <c r="T309" i="3" a="1"/>
  <c r="T309" i="3" s="1"/>
  <c r="AB294" i="3"/>
  <c r="AD208" i="3"/>
  <c r="AD220" i="3"/>
  <c r="AD232" i="3"/>
  <c r="AD244" i="3"/>
  <c r="AD256" i="3"/>
  <c r="AD268" i="3"/>
  <c r="AD280" i="3"/>
  <c r="AB214" i="3"/>
  <c r="AB226" i="3"/>
  <c r="AB238" i="3"/>
  <c r="AB250" i="3"/>
  <c r="AB262" i="3"/>
  <c r="AB274" i="3"/>
  <c r="AB286" i="3"/>
  <c r="AB295" i="3"/>
  <c r="AD221" i="3"/>
  <c r="AD257" i="3"/>
  <c r="AB239" i="3"/>
  <c r="AB275" i="3"/>
  <c r="AB297" i="3"/>
  <c r="AD211" i="3"/>
  <c r="AD223" i="3"/>
  <c r="AD235" i="3"/>
  <c r="AD247" i="3"/>
  <c r="AD259" i="3"/>
  <c r="AD271" i="3"/>
  <c r="AD283" i="3"/>
  <c r="AB205" i="3"/>
  <c r="AB217" i="3"/>
  <c r="AB229" i="3"/>
  <c r="AB241" i="3"/>
  <c r="AB253" i="3"/>
  <c r="AB265" i="3"/>
  <c r="AB277" i="3"/>
  <c r="AB289" i="3"/>
  <c r="AB231" i="3"/>
  <c r="AB267" i="3"/>
  <c r="AB221" i="3"/>
  <c r="AB298" i="3"/>
  <c r="AD212" i="3"/>
  <c r="AD224" i="3"/>
  <c r="AD236" i="3"/>
  <c r="AD248" i="3"/>
  <c r="AD260" i="3"/>
  <c r="AD272" i="3"/>
  <c r="AD284" i="3"/>
  <c r="AB206" i="3"/>
  <c r="AB218" i="3"/>
  <c r="AB230" i="3"/>
  <c r="AB242" i="3"/>
  <c r="AB254" i="3"/>
  <c r="AB266" i="3"/>
  <c r="AB278" i="3"/>
  <c r="AB203" i="3"/>
  <c r="AD227" i="3"/>
  <c r="AD263" i="3"/>
  <c r="AB245" i="3"/>
  <c r="AD213" i="3"/>
  <c r="AD225" i="3"/>
  <c r="AD237" i="3"/>
  <c r="AD249" i="3"/>
  <c r="AD261" i="3"/>
  <c r="AD273" i="3"/>
  <c r="AD285" i="3"/>
  <c r="AB207" i="3"/>
  <c r="AB219" i="3"/>
  <c r="AB243" i="3"/>
  <c r="AB255" i="3"/>
  <c r="AB279" i="3"/>
  <c r="AD239" i="3"/>
  <c r="AD275" i="3"/>
  <c r="AB233" i="3"/>
  <c r="AB269" i="3"/>
  <c r="AD214" i="3"/>
  <c r="AD226" i="3"/>
  <c r="AD238" i="3"/>
  <c r="AD250" i="3"/>
  <c r="AD262" i="3"/>
  <c r="AD274" i="3"/>
  <c r="AD286" i="3"/>
  <c r="AB208" i="3"/>
  <c r="AB220" i="3"/>
  <c r="AB232" i="3"/>
  <c r="AB244" i="3"/>
  <c r="AB256" i="3"/>
  <c r="AB268" i="3"/>
  <c r="AB280" i="3"/>
  <c r="AD287" i="3"/>
  <c r="AB257" i="3"/>
  <c r="AD215" i="3"/>
  <c r="AD251" i="3"/>
  <c r="AB209" i="3"/>
  <c r="AB292" i="3"/>
  <c r="AB293" i="3"/>
  <c r="AD207" i="3"/>
  <c r="AD219" i="3"/>
  <c r="AD231" i="3"/>
  <c r="AD243" i="3"/>
  <c r="AD255" i="3"/>
  <c r="AD267" i="3"/>
  <c r="AD279" i="3"/>
  <c r="AB213" i="3"/>
  <c r="AB225" i="3"/>
  <c r="AB237" i="3"/>
  <c r="AB249" i="3"/>
  <c r="AB261" i="3"/>
  <c r="AB273" i="3"/>
  <c r="AB285" i="3"/>
  <c r="AD209" i="3"/>
  <c r="AD233" i="3"/>
  <c r="AD245" i="3"/>
  <c r="AD269" i="3"/>
  <c r="AD281" i="3"/>
  <c r="AB215" i="3"/>
  <c r="AB227" i="3"/>
  <c r="AB251" i="3"/>
  <c r="AB263" i="3"/>
  <c r="AB287" i="3"/>
  <c r="AD205" i="3"/>
  <c r="AD241" i="3"/>
  <c r="AD277" i="3"/>
  <c r="AB211" i="3"/>
  <c r="AB247" i="3"/>
  <c r="AB282" i="3"/>
  <c r="AD206" i="3"/>
  <c r="AD242" i="3"/>
  <c r="AD278" i="3"/>
  <c r="AB212" i="3"/>
  <c r="AB248" i="3"/>
  <c r="AB283" i="3"/>
  <c r="AB296" i="3"/>
  <c r="AD210" i="3"/>
  <c r="AD246" i="3"/>
  <c r="AD282" i="3"/>
  <c r="AB216" i="3"/>
  <c r="AB252" i="3"/>
  <c r="AB284" i="3"/>
  <c r="AD266" i="3"/>
  <c r="AB272" i="3"/>
  <c r="AD270" i="3"/>
  <c r="AD216" i="3"/>
  <c r="AD252" i="3"/>
  <c r="AD288" i="3"/>
  <c r="AB222" i="3"/>
  <c r="AB258" i="3"/>
  <c r="AB288" i="3"/>
  <c r="AB223" i="3"/>
  <c r="AB228" i="3"/>
  <c r="AB234" i="3"/>
  <c r="AD217" i="3"/>
  <c r="AD253" i="3"/>
  <c r="AD289" i="3"/>
  <c r="AB259" i="3"/>
  <c r="AD228" i="3"/>
  <c r="AB270" i="3"/>
  <c r="AB235" i="3"/>
  <c r="AB236" i="3"/>
  <c r="AD218" i="3"/>
  <c r="AD254" i="3"/>
  <c r="AD203" i="3"/>
  <c r="AB224" i="3"/>
  <c r="AB260" i="3"/>
  <c r="AD222" i="3"/>
  <c r="AB264" i="3"/>
  <c r="AD264" i="3"/>
  <c r="AD234" i="3"/>
  <c r="AB276" i="3"/>
  <c r="AD258" i="3"/>
  <c r="AB271" i="3"/>
  <c r="AD229" i="3"/>
  <c r="AD265" i="3"/>
  <c r="AD230" i="3"/>
  <c r="AB204" i="3"/>
  <c r="AD204" i="3"/>
  <c r="AD240" i="3"/>
  <c r="AD276" i="3"/>
  <c r="AB210" i="3"/>
  <c r="AB246" i="3"/>
  <c r="AB281" i="3"/>
  <c r="AB240" i="3"/>
  <c r="O167" i="3"/>
  <c r="D152" i="3" s="1" a="1"/>
  <c r="D152" i="3" s="1"/>
  <c r="O166" i="3"/>
  <c r="D151" i="3" s="1" a="1"/>
  <c r="D151" i="3" s="1"/>
  <c r="O168" i="3"/>
  <c r="F151" i="3" s="1" a="1"/>
  <c r="F151" i="3" s="1"/>
  <c r="T135" i="3"/>
  <c r="Q135" i="3" s="1"/>
  <c r="Q134" i="3"/>
  <c r="N116" i="3"/>
  <c r="Q24" i="3" l="1"/>
  <c r="N25" i="3" s="1"/>
  <c r="D89" i="3" s="1"/>
  <c r="D90" i="3" s="1"/>
  <c r="O378" i="3"/>
  <c r="H618" i="3" a="1"/>
  <c r="N118" i="3"/>
  <c r="W559" i="3"/>
  <c r="AB362" i="3" a="1"/>
  <c r="AB362" i="3" s="1"/>
  <c r="Y376" i="3" a="1"/>
  <c r="Y376" i="3" s="1"/>
  <c r="AD362" i="3" a="1"/>
  <c r="AD362" i="3" s="1"/>
  <c r="N134" i="3"/>
  <c r="O134" i="3" s="1"/>
  <c r="D139" i="3" s="1" a="1"/>
  <c r="D139" i="3" s="1"/>
  <c r="T302" i="3" a="1"/>
  <c r="T302" i="3" s="1"/>
  <c r="D378" i="3" a="1"/>
  <c r="D378" i="3" s="1"/>
  <c r="O25" i="3"/>
  <c r="O28" i="3" s="1"/>
  <c r="N26" i="3" s="1"/>
  <c r="O118" i="3" l="1"/>
  <c r="O120" i="3" s="1"/>
  <c r="N123" i="3" s="1"/>
  <c r="H618" i="3"/>
  <c r="H620" i="3" s="1" a="1"/>
  <c r="H620" i="3" s="1"/>
  <c r="M638" i="3" s="1"/>
  <c r="J619" i="3" a="1"/>
  <c r="J619" i="3" s="1"/>
  <c r="N359" i="3" a="1"/>
  <c r="D143" i="3" a="1"/>
  <c r="D143" i="3" s="1"/>
  <c r="O136" i="3"/>
  <c r="O140" i="3"/>
  <c r="O148" i="3" s="1"/>
  <c r="F143" i="3" s="1" a="1"/>
  <c r="F143" i="3" s="1"/>
  <c r="O26" i="3"/>
  <c r="G89" i="3" s="1"/>
  <c r="F89" i="3"/>
  <c r="N44" i="3"/>
  <c r="O44" i="3" s="1"/>
  <c r="X41" i="3" s="1"/>
  <c r="Y41" i="3" s="1"/>
  <c r="N49" i="3"/>
  <c r="N72" i="3" s="1"/>
  <c r="N122" i="3" l="1"/>
  <c r="O122" i="3" s="1"/>
  <c r="D137" i="3" s="1" a="1"/>
  <c r="D137" i="3" s="1"/>
  <c r="D138" i="3" a="1"/>
  <c r="D138" i="3" s="1"/>
  <c r="F136" i="3" a="1"/>
  <c r="F136" i="3" s="1"/>
  <c r="N647" i="3"/>
  <c r="J647" i="3" s="1"/>
  <c r="N359" i="3"/>
  <c r="P380" i="3" a="1"/>
  <c r="P380" i="3" s="1"/>
  <c r="N380" i="3" a="1"/>
  <c r="P379" i="3" a="1"/>
  <c r="N379" i="3" a="1"/>
  <c r="N374" i="3" a="1"/>
  <c r="N374" i="3" s="1"/>
  <c r="N373" i="3" a="1"/>
  <c r="N373" i="3" s="1"/>
  <c r="H616" i="3" s="1" a="1"/>
  <c r="H616" i="3" s="1"/>
  <c r="H619" i="3" s="1" a="1"/>
  <c r="O385" i="3"/>
  <c r="D92" i="3" a="1"/>
  <c r="D92" i="3" s="1"/>
  <c r="N138" i="3"/>
  <c r="O143" i="3"/>
  <c r="N147" i="3" s="1"/>
  <c r="N183" i="3" s="1"/>
  <c r="N146" i="3"/>
  <c r="O146" i="3" s="1"/>
  <c r="D142" i="3" s="1" a="1"/>
  <c r="D142" i="3" s="1"/>
  <c r="N124" i="3"/>
  <c r="N180" i="3" s="1"/>
  <c r="O123" i="3"/>
  <c r="O124" i="3" s="1"/>
  <c r="O180" i="3" s="1"/>
  <c r="N34" i="3"/>
  <c r="N33" i="3"/>
  <c r="Q33" i="3" s="1"/>
  <c r="N43" i="3"/>
  <c r="Q43" i="3" s="1"/>
  <c r="H619" i="3" l="1"/>
  <c r="N638" i="3"/>
  <c r="J638" i="3" s="1"/>
  <c r="N380" i="3"/>
  <c r="O383" i="3"/>
  <c r="Q383" i="3" s="1"/>
  <c r="N379" i="3"/>
  <c r="O381" i="3"/>
  <c r="Q381" i="3" s="1"/>
  <c r="O396" i="3"/>
  <c r="O397" i="3" s="1"/>
  <c r="O398" i="3"/>
  <c r="Q385" i="3"/>
  <c r="N386" i="3" a="1"/>
  <c r="P379" i="3"/>
  <c r="O382" i="3"/>
  <c r="Y50" i="3"/>
  <c r="X53" i="3" s="1"/>
  <c r="O181" i="3"/>
  <c r="D160" i="3" a="1"/>
  <c r="D160" i="3" s="1"/>
  <c r="N181" i="3"/>
  <c r="F159" i="3" a="1"/>
  <c r="F159" i="3" s="1"/>
  <c r="N184" i="3"/>
  <c r="O147" i="3"/>
  <c r="O138" i="3"/>
  <c r="D140" i="3" s="1" a="1"/>
  <c r="D140" i="3" s="1"/>
  <c r="F135" i="3" a="1"/>
  <c r="F135" i="3" s="1"/>
  <c r="F134" i="3" a="1"/>
  <c r="F134" i="3" s="1"/>
  <c r="D135" i="3" a="1"/>
  <c r="D135" i="3" s="1"/>
  <c r="D136" i="3" a="1"/>
  <c r="D136" i="3" s="1"/>
  <c r="N38" i="3"/>
  <c r="V156" i="3" l="1"/>
  <c r="V155" i="3"/>
  <c r="W156" i="3"/>
  <c r="W155" i="3"/>
  <c r="Y562" i="3"/>
  <c r="X562" i="3"/>
  <c r="W563" i="3"/>
  <c r="V563" i="3"/>
  <c r="O399" i="3"/>
  <c r="Q398" i="3"/>
  <c r="N386" i="3"/>
  <c r="Q386" i="3"/>
  <c r="O389" i="3"/>
  <c r="Q389" i="3" s="1"/>
  <c r="O388" i="3"/>
  <c r="Q388" i="3" s="1"/>
  <c r="O387" i="3"/>
  <c r="Q387" i="3" s="1"/>
  <c r="Q396" i="3"/>
  <c r="Q397" i="3" s="1"/>
  <c r="O384" i="3"/>
  <c r="Q382" i="3"/>
  <c r="Q384" i="3" s="1"/>
  <c r="V153" i="3"/>
  <c r="V154" i="3"/>
  <c r="W154" i="3"/>
  <c r="W153" i="3"/>
  <c r="D141" i="3" a="1"/>
  <c r="D141" i="3" s="1"/>
  <c r="O183" i="3"/>
  <c r="F158" i="3" a="1"/>
  <c r="F158" i="3" s="1"/>
  <c r="D159" i="3" a="1"/>
  <c r="D159" i="3" s="1"/>
  <c r="T184" i="3"/>
  <c r="N182" i="3" s="1"/>
  <c r="Y53" i="3"/>
  <c r="Y54" i="3" s="1"/>
  <c r="X54" i="3"/>
  <c r="F140" i="3" a="1"/>
  <c r="F140" i="3" s="1"/>
  <c r="F139" i="3" a="1"/>
  <c r="F139" i="3" s="1"/>
  <c r="Q38" i="3"/>
  <c r="O38" i="3" s="1"/>
  <c r="E89" i="3"/>
  <c r="E90" i="3" s="1"/>
  <c r="O43" i="3"/>
  <c r="Q57" i="3" s="1"/>
  <c r="O29" i="3"/>
  <c r="N46" i="3" s="1"/>
  <c r="AH163" i="3" l="1" a="1"/>
  <c r="AH163" i="3" s="1"/>
  <c r="AF163" i="3" a="1"/>
  <c r="AF163" i="3" s="1"/>
  <c r="AH153" i="3" a="1"/>
  <c r="AH153" i="3" s="1"/>
  <c r="AF153" i="3" a="1"/>
  <c r="AF153" i="3" s="1"/>
  <c r="AG153" i="3" a="1"/>
  <c r="AG153" i="3" s="1"/>
  <c r="AE153" i="3" a="1"/>
  <c r="AE153" i="3" s="1"/>
  <c r="AG163" i="3" a="1"/>
  <c r="AG163" i="3" s="1"/>
  <c r="AE163" i="3" a="1"/>
  <c r="AE163" i="3" s="1"/>
  <c r="Y561" i="3"/>
  <c r="X561" i="3"/>
  <c r="V562" i="3"/>
  <c r="W562" i="3"/>
  <c r="Q390" i="3" a="1"/>
  <c r="Q390" i="3" s="1"/>
  <c r="O390" i="3" a="1"/>
  <c r="O390" i="3" s="1"/>
  <c r="O395" i="3" s="1"/>
  <c r="Q395" i="3" s="1"/>
  <c r="W406" i="3" s="1"/>
  <c r="N387" i="3"/>
  <c r="N388" i="3" s="1"/>
  <c r="N389" i="3" s="1"/>
  <c r="P386" i="3"/>
  <c r="Q399" i="3"/>
  <c r="N401" i="3" s="1" a="1"/>
  <c r="N400" i="3" a="1"/>
  <c r="AB153" i="3" a="1"/>
  <c r="AB153" i="3" s="1"/>
  <c r="Z153" i="3" a="1"/>
  <c r="Z153" i="3" s="1"/>
  <c r="AB163" i="3" a="1"/>
  <c r="AB163" i="3" s="1"/>
  <c r="Z163" i="3" a="1"/>
  <c r="Z163" i="3" s="1"/>
  <c r="AA163" i="3" a="1"/>
  <c r="AA163" i="3" s="1"/>
  <c r="Y163" i="3" a="1"/>
  <c r="Y163" i="3" s="1"/>
  <c r="AA153" i="3" a="1"/>
  <c r="AA153" i="3" s="1"/>
  <c r="Y153" i="3" a="1"/>
  <c r="Y153" i="3" s="1"/>
  <c r="O182" i="3"/>
  <c r="D158" i="3" s="1" a="1"/>
  <c r="D158" i="3" s="1"/>
  <c r="O184" i="3"/>
  <c r="F160" i="3" a="1"/>
  <c r="F160" i="3" s="1"/>
  <c r="D161" i="3" a="1"/>
  <c r="D161" i="3" s="1"/>
  <c r="O106" i="3"/>
  <c r="AN70" i="3"/>
  <c r="N106" i="3"/>
  <c r="AM70" i="3"/>
  <c r="O46" i="3"/>
  <c r="N155" i="3"/>
  <c r="N47" i="3"/>
  <c r="N40" i="3"/>
  <c r="R57" i="3"/>
  <c r="N57" i="3" s="1"/>
  <c r="D244" i="3" l="1" a="1"/>
  <c r="D244" i="3" s="1"/>
  <c r="D235" i="3" a="1"/>
  <c r="D235" i="3" s="1"/>
  <c r="W564" i="3"/>
  <c r="V564" i="3"/>
  <c r="Y563" i="3"/>
  <c r="X563" i="3"/>
  <c r="W561" i="3"/>
  <c r="V561" i="3"/>
  <c r="W408" i="3"/>
  <c r="O410" i="3"/>
  <c r="W405" i="3"/>
  <c r="Q400" i="3"/>
  <c r="P402" i="3" s="1" a="1"/>
  <c r="P402" i="3" s="1"/>
  <c r="N400" i="3"/>
  <c r="O403" i="3"/>
  <c r="Q401" i="3"/>
  <c r="N402" i="3" s="1" a="1"/>
  <c r="N402" i="3" s="1"/>
  <c r="N401" i="3"/>
  <c r="P387" i="3"/>
  <c r="P388" i="3" s="1"/>
  <c r="P389" i="3" s="1"/>
  <c r="N395" i="3"/>
  <c r="N396" i="3" s="1"/>
  <c r="P396" i="3" s="1"/>
  <c r="D226" i="3" a="1"/>
  <c r="D226" i="3" s="1"/>
  <c r="D217" i="3" a="1"/>
  <c r="D217" i="3" s="1"/>
  <c r="F146" i="3" a="1"/>
  <c r="F146" i="3" s="1"/>
  <c r="D147" i="3" s="1" a="1"/>
  <c r="D147" i="3" s="1"/>
  <c r="O108" i="3"/>
  <c r="O109" i="3"/>
  <c r="AQ74" i="3"/>
  <c r="AQ72" i="3"/>
  <c r="AS72" i="3"/>
  <c r="AQ89" i="3"/>
  <c r="AS73" i="3"/>
  <c r="AQ73" i="3"/>
  <c r="AS84" i="3"/>
  <c r="AS74" i="3"/>
  <c r="AQ84" i="3"/>
  <c r="AQ85" i="3"/>
  <c r="AQ86" i="3"/>
  <c r="AS85" i="3"/>
  <c r="AQ75" i="3"/>
  <c r="AQ88" i="3"/>
  <c r="AS75" i="3"/>
  <c r="AS77" i="3"/>
  <c r="AL88" i="3" a="1"/>
  <c r="AL88" i="3" s="1"/>
  <c r="AS86" i="3"/>
  <c r="AQ90" i="3"/>
  <c r="AQ76" i="3"/>
  <c r="AL72" i="3" a="1"/>
  <c r="AL72" i="3" s="1"/>
  <c r="AQ79" i="3"/>
  <c r="AN72" i="3" a="1"/>
  <c r="AN72" i="3" s="1"/>
  <c r="AQ80" i="3"/>
  <c r="AQ83" i="3"/>
  <c r="AS76" i="3"/>
  <c r="AQ81" i="3"/>
  <c r="AQ92" i="3"/>
  <c r="AQ93" i="3"/>
  <c r="AQ82" i="3"/>
  <c r="AQ77" i="3"/>
  <c r="AS80" i="3"/>
  <c r="AS81" i="3"/>
  <c r="AS82" i="3"/>
  <c r="AS83" i="3"/>
  <c r="AQ91" i="3"/>
  <c r="AQ78" i="3"/>
  <c r="AS79" i="3"/>
  <c r="AS78" i="3"/>
  <c r="AP74" i="3"/>
  <c r="AR84" i="3"/>
  <c r="AP85" i="3"/>
  <c r="AP84" i="3"/>
  <c r="AP89" i="3"/>
  <c r="AP72" i="3"/>
  <c r="AR73" i="3"/>
  <c r="AR72" i="3"/>
  <c r="AP73" i="3"/>
  <c r="AR74" i="3"/>
  <c r="AP88" i="3"/>
  <c r="AP86" i="3"/>
  <c r="AR85" i="3"/>
  <c r="AP75" i="3"/>
  <c r="AR77" i="3"/>
  <c r="AR86" i="3"/>
  <c r="AR75" i="3"/>
  <c r="AP76" i="3"/>
  <c r="AP90" i="3"/>
  <c r="AP92" i="3"/>
  <c r="AP93" i="3"/>
  <c r="AP80" i="3"/>
  <c r="AR76" i="3"/>
  <c r="AP81" i="3"/>
  <c r="AP82" i="3"/>
  <c r="AP79" i="3"/>
  <c r="AP77" i="3"/>
  <c r="AP83" i="3"/>
  <c r="AR83" i="3"/>
  <c r="AR80" i="3"/>
  <c r="AR82" i="3"/>
  <c r="AR81" i="3"/>
  <c r="AR79" i="3"/>
  <c r="AP91" i="3"/>
  <c r="AK88" i="3" a="1"/>
  <c r="AK88" i="3" s="1"/>
  <c r="AK72" i="3" a="1"/>
  <c r="AK72" i="3" s="1"/>
  <c r="AP78" i="3"/>
  <c r="AR78" i="3"/>
  <c r="AM72" i="3" a="1"/>
  <c r="AM72" i="3" s="1"/>
  <c r="T185" i="3"/>
  <c r="N185" i="3" s="1"/>
  <c r="D162" i="3" a="1"/>
  <c r="D162" i="3" s="1"/>
  <c r="F161" i="3" a="1"/>
  <c r="F161" i="3" s="1"/>
  <c r="O47" i="3"/>
  <c r="F145" i="3" s="1" a="1"/>
  <c r="F145" i="3" s="1"/>
  <c r="S46" i="3"/>
  <c r="S47" i="3" s="1"/>
  <c r="J19" i="1" s="1"/>
  <c r="O155" i="3"/>
  <c r="F147" i="3" s="1" a="1"/>
  <c r="F147" i="3" s="1"/>
  <c r="N156" i="3"/>
  <c r="O156" i="3" s="1"/>
  <c r="F148" i="3" s="1" a="1"/>
  <c r="F148" i="3" s="1"/>
  <c r="N65" i="3"/>
  <c r="O57" i="3"/>
  <c r="O65" i="3" s="1"/>
  <c r="O66" i="3" s="1"/>
  <c r="O40" i="3"/>
  <c r="E91" i="3" s="1"/>
  <c r="D91" i="3"/>
  <c r="X564" i="3" l="1"/>
  <c r="Y564" i="3"/>
  <c r="W565" i="3"/>
  <c r="V565" i="3"/>
  <c r="W407" i="3"/>
  <c r="Q409" i="3"/>
  <c r="O408" i="3"/>
  <c r="O409" i="3"/>
  <c r="O411" i="3"/>
  <c r="O412" i="3" s="1" a="1"/>
  <c r="O412" i="3" s="1"/>
  <c r="Q410" i="3"/>
  <c r="O404" i="3"/>
  <c r="Q403" i="3"/>
  <c r="D146" i="3" a="1"/>
  <c r="D146" i="3" s="1"/>
  <c r="N66" i="3"/>
  <c r="M70" i="3" s="1" a="1"/>
  <c r="M69" i="3" a="1"/>
  <c r="O185" i="3"/>
  <c r="F162" i="3" s="1" a="1"/>
  <c r="F162" i="3" s="1"/>
  <c r="AF96" i="3" a="1"/>
  <c r="AF96" i="3" s="1"/>
  <c r="D119" i="3" a="1"/>
  <c r="D119" i="3" s="1"/>
  <c r="AG96" i="3" a="1"/>
  <c r="AG96" i="3" s="1"/>
  <c r="N125" i="3"/>
  <c r="O125" i="3" s="1"/>
  <c r="D134" i="3" s="1" a="1"/>
  <c r="D134" i="3" s="1"/>
  <c r="N126" i="3"/>
  <c r="O126" i="3" s="1"/>
  <c r="F137" i="3" s="1" a="1"/>
  <c r="F137" i="3" s="1"/>
  <c r="N127" i="3"/>
  <c r="O127" i="3" s="1"/>
  <c r="F138" i="3" s="1" a="1"/>
  <c r="F138" i="3" s="1"/>
  <c r="N113" i="3"/>
  <c r="O113" i="3" s="1"/>
  <c r="F117" i="3" s="1" a="1"/>
  <c r="F117" i="3" s="1"/>
  <c r="N111" i="3"/>
  <c r="O111" i="3" s="1"/>
  <c r="F115" i="3" s="1" a="1"/>
  <c r="F115" i="3" s="1"/>
  <c r="N112" i="3"/>
  <c r="O112" i="3" s="1"/>
  <c r="F116" i="3" s="1" a="1"/>
  <c r="F116" i="3" s="1"/>
  <c r="D148" i="3" a="1"/>
  <c r="D148" i="3" s="1"/>
  <c r="J18" i="1"/>
  <c r="Q49" i="3"/>
  <c r="O49" i="3" s="1"/>
  <c r="N51" i="3" s="1"/>
  <c r="O51" i="3" s="1"/>
  <c r="D93" i="3" s="1" a="1"/>
  <c r="D93" i="3" s="1"/>
  <c r="K19" i="1"/>
  <c r="H602" i="3" l="1" a="1"/>
  <c r="H608" i="3" s="1" a="1"/>
  <c r="H608" i="3" s="1"/>
  <c r="Y565" i="3"/>
  <c r="X565" i="3"/>
  <c r="Q408" i="3"/>
  <c r="Q414" i="3" s="1" a="1"/>
  <c r="Q414" i="3" s="1"/>
  <c r="O414" i="3" a="1"/>
  <c r="O414" i="3" s="1"/>
  <c r="Q411" i="3"/>
  <c r="Q412" i="3" s="1" a="1"/>
  <c r="Q412" i="3" s="1"/>
  <c r="N405" i="3" a="1"/>
  <c r="Q404" i="3"/>
  <c r="N406" i="3" s="1" a="1"/>
  <c r="N172" i="3"/>
  <c r="D109" i="3" a="1"/>
  <c r="D109" i="3" s="1"/>
  <c r="F113" i="3" a="1"/>
  <c r="F113" i="3" s="1"/>
  <c r="O172" i="3"/>
  <c r="M69" i="3"/>
  <c r="O72" i="3"/>
  <c r="D110" i="3" a="1"/>
  <c r="D110" i="3" s="1"/>
  <c r="F109" i="3" a="1"/>
  <c r="F109" i="3" s="1"/>
  <c r="M70" i="3"/>
  <c r="F92" i="3" a="1"/>
  <c r="F92" i="3" s="1"/>
  <c r="H573" i="3" l="1" a="1"/>
  <c r="N650" i="3" s="1"/>
  <c r="J608" i="3" a="1"/>
  <c r="J608" i="3" s="1"/>
  <c r="J607" i="3" a="1"/>
  <c r="J607" i="3" s="1"/>
  <c r="H602" i="3"/>
  <c r="M639" i="3" s="1"/>
  <c r="N639" i="3"/>
  <c r="H607" i="3" a="1"/>
  <c r="H607" i="3" s="1"/>
  <c r="N406" i="3"/>
  <c r="Q406" i="3"/>
  <c r="P407" i="3" s="1" a="1"/>
  <c r="P407" i="3" s="1"/>
  <c r="N405" i="3"/>
  <c r="Q405" i="3"/>
  <c r="N407" i="3" s="1" a="1"/>
  <c r="N407" i="3" s="1"/>
  <c r="N75" i="3"/>
  <c r="N74" i="3"/>
  <c r="O74" i="3" s="1"/>
  <c r="F112" i="3" s="1" a="1"/>
  <c r="F112" i="3" s="1"/>
  <c r="O173" i="3"/>
  <c r="N173" i="3"/>
  <c r="N176" i="3"/>
  <c r="D153" i="3" s="1" a="1"/>
  <c r="D153" i="3" s="1"/>
  <c r="D154" i="3" a="1"/>
  <c r="D154" i="3" s="1"/>
  <c r="F153" i="3" a="1"/>
  <c r="F153" i="3" s="1"/>
  <c r="M573" i="3" l="1"/>
  <c r="M574" i="3" s="1"/>
  <c r="M579" i="3" s="1"/>
  <c r="J578" i="3" a="1"/>
  <c r="J578" i="3" s="1"/>
  <c r="H573" i="3"/>
  <c r="M650" i="3" s="1"/>
  <c r="J650" i="3" s="1"/>
  <c r="J639" i="3"/>
  <c r="L573" i="3"/>
  <c r="H578" i="3" a="1"/>
  <c r="H578" i="3" s="1"/>
  <c r="L574" i="3"/>
  <c r="L579" i="3" s="1"/>
  <c r="W122" i="3"/>
  <c r="W125" i="3"/>
  <c r="W124" i="3"/>
  <c r="W123" i="3"/>
  <c r="W121" i="3"/>
  <c r="W120" i="3"/>
  <c r="V121" i="3"/>
  <c r="V122" i="3"/>
  <c r="D155" i="3" a="1"/>
  <c r="D155" i="3" s="1"/>
  <c r="V123" i="3"/>
  <c r="Y108" i="3"/>
  <c r="V120" i="3"/>
  <c r="V125" i="3"/>
  <c r="V124" i="3"/>
  <c r="F154" i="3" a="1"/>
  <c r="F154" i="3" s="1"/>
  <c r="H567" i="3" s="1" a="1"/>
  <c r="N649" i="3" s="1"/>
  <c r="X43" i="3"/>
  <c r="Y43" i="3" s="1"/>
  <c r="X45" i="3" s="1"/>
  <c r="O75" i="3"/>
  <c r="F111" i="3" s="1" a="1"/>
  <c r="F111" i="3" s="1"/>
  <c r="Q573" i="3" l="1" a="1"/>
  <c r="Q573" i="3" s="1"/>
  <c r="N645" i="3"/>
  <c r="J645" i="3" s="1"/>
  <c r="H567" i="3"/>
  <c r="M649" i="3" s="1"/>
  <c r="J649" i="3" s="1"/>
  <c r="J572" i="3" a="1"/>
  <c r="J572" i="3" s="1"/>
  <c r="M567" i="3"/>
  <c r="M568" i="3" s="1"/>
  <c r="L585" i="3"/>
  <c r="P579" i="3" a="1"/>
  <c r="P579" i="3" s="1"/>
  <c r="N579" i="3" a="1"/>
  <c r="N579" i="3" s="1"/>
  <c r="N573" i="3" a="1"/>
  <c r="N573" i="3" s="1"/>
  <c r="P573" i="3" a="1"/>
  <c r="P573" i="3" s="1"/>
  <c r="O573" i="3" a="1"/>
  <c r="O573" i="3" s="1"/>
  <c r="Q579" i="3" a="1"/>
  <c r="Q579" i="3" s="1"/>
  <c r="M585" i="3"/>
  <c r="O579" i="3" a="1"/>
  <c r="O579" i="3" s="1"/>
  <c r="F110" i="3" a="1"/>
  <c r="F110" i="3" s="1"/>
  <c r="AG120" i="3" a="1"/>
  <c r="AG120" i="3" s="1"/>
  <c r="AE120" i="3" a="1"/>
  <c r="AE120" i="3" s="1"/>
  <c r="AB120" i="3" a="1"/>
  <c r="AB120" i="3" s="1"/>
  <c r="Z120" i="3" a="1"/>
  <c r="Z120" i="3" s="1"/>
  <c r="AE130" i="3" a="1"/>
  <c r="AE130" i="3" s="1"/>
  <c r="AG130" i="3" a="1"/>
  <c r="AG130" i="3" s="1"/>
  <c r="X46" i="3"/>
  <c r="AM32" i="3" s="1"/>
  <c r="Y45" i="3"/>
  <c r="Y46" i="3" s="1"/>
  <c r="AN32" i="3" s="1"/>
  <c r="AF130" i="3" a="1"/>
  <c r="AF130" i="3" s="1"/>
  <c r="AH130" i="3" a="1"/>
  <c r="AH130" i="3" s="1"/>
  <c r="AK120" i="3" a="1"/>
  <c r="AK120" i="3" s="1"/>
  <c r="AM120" i="3" a="1"/>
  <c r="AM120" i="3" s="1"/>
  <c r="AL130" i="3" a="1"/>
  <c r="AL130" i="3" s="1"/>
  <c r="AN130" i="3" a="1"/>
  <c r="AN130" i="3" s="1"/>
  <c r="AA120" i="3" a="1"/>
  <c r="AA120" i="3" s="1"/>
  <c r="Y120" i="3" a="1"/>
  <c r="Y120" i="3" s="1"/>
  <c r="Y130" i="3" a="1"/>
  <c r="Y130" i="3" s="1"/>
  <c r="AA130" i="3" a="1"/>
  <c r="AA130" i="3" s="1"/>
  <c r="Z130" i="3" a="1"/>
  <c r="Z130" i="3" s="1"/>
  <c r="AB130" i="3" a="1"/>
  <c r="AB130" i="3" s="1"/>
  <c r="AN120" i="3" a="1"/>
  <c r="AN120" i="3" s="1"/>
  <c r="AL120" i="3" a="1"/>
  <c r="AL120" i="3" s="1"/>
  <c r="AK130" i="3" a="1"/>
  <c r="AK130" i="3" s="1"/>
  <c r="AM130" i="3" a="1"/>
  <c r="AM130" i="3" s="1"/>
  <c r="AH120" i="3" a="1"/>
  <c r="AH120" i="3" s="1"/>
  <c r="AF120" i="3" a="1"/>
  <c r="AF120" i="3" s="1"/>
  <c r="O585" i="3" l="1" a="1"/>
  <c r="O585" i="3" s="1"/>
  <c r="M595" i="3"/>
  <c r="Q585" i="3" a="1"/>
  <c r="Q585" i="3" s="1"/>
  <c r="N585" i="3" a="1"/>
  <c r="N585" i="3" s="1"/>
  <c r="L595" i="3"/>
  <c r="P585" i="3" a="1"/>
  <c r="P585" i="3" s="1"/>
  <c r="Q567" i="3" a="1"/>
  <c r="Q567" i="3" s="1"/>
  <c r="L567" i="3"/>
  <c r="L568" i="3" s="1"/>
  <c r="H572" i="3" a="1"/>
  <c r="H572" i="3" s="1"/>
  <c r="D163" i="3" a="1"/>
  <c r="D163" i="3" s="1"/>
  <c r="D208" i="3" a="1"/>
  <c r="D208" i="3" s="1"/>
  <c r="D199" i="3" a="1"/>
  <c r="D199" i="3" s="1"/>
  <c r="N31" i="3"/>
  <c r="AR47" i="3"/>
  <c r="AP44" i="3"/>
  <c r="AM34" i="3" a="1"/>
  <c r="AM34" i="3" s="1"/>
  <c r="AR35" i="3"/>
  <c r="AK34" i="3" a="1"/>
  <c r="AK34" i="3" s="1"/>
  <c r="AR41" i="3"/>
  <c r="AR48" i="3"/>
  <c r="AR42" i="3"/>
  <c r="AP51" i="3"/>
  <c r="AP46" i="3"/>
  <c r="AR37" i="3"/>
  <c r="AR34" i="3"/>
  <c r="AP43" i="3"/>
  <c r="AP35" i="3"/>
  <c r="AP52" i="3"/>
  <c r="AP41" i="3"/>
  <c r="AK50" i="3" a="1"/>
  <c r="AK50" i="3" s="1"/>
  <c r="AR46" i="3"/>
  <c r="AP38" i="3"/>
  <c r="AR36" i="3"/>
  <c r="AP45" i="3"/>
  <c r="AR45" i="3"/>
  <c r="AP48" i="3"/>
  <c r="AP37" i="3"/>
  <c r="AR40" i="3"/>
  <c r="AP36" i="3"/>
  <c r="AP39" i="3"/>
  <c r="AR39" i="3"/>
  <c r="AP42" i="3"/>
  <c r="AP50" i="3"/>
  <c r="AP54" i="3"/>
  <c r="AP55" i="3"/>
  <c r="AR43" i="3"/>
  <c r="AP47" i="3"/>
  <c r="AR38" i="3"/>
  <c r="AP40" i="3"/>
  <c r="AR44" i="3"/>
  <c r="AP53" i="3"/>
  <c r="AP34" i="3"/>
  <c r="D190" i="3" a="1"/>
  <c r="D190" i="3" s="1"/>
  <c r="D172" i="3" a="1"/>
  <c r="D172" i="3" s="1"/>
  <c r="AQ34" i="3"/>
  <c r="AQ38" i="3"/>
  <c r="AQ45" i="3"/>
  <c r="AS46" i="3"/>
  <c r="AQ40" i="3"/>
  <c r="AS38" i="3"/>
  <c r="AS35" i="3"/>
  <c r="AQ46" i="3"/>
  <c r="AQ50" i="3"/>
  <c r="AS39" i="3"/>
  <c r="AQ39" i="3"/>
  <c r="AQ47" i="3"/>
  <c r="AQ54" i="3"/>
  <c r="AS45" i="3"/>
  <c r="AS40" i="3"/>
  <c r="AQ55" i="3"/>
  <c r="AQ35" i="3"/>
  <c r="AL34" i="3" a="1"/>
  <c r="AL34" i="3" s="1"/>
  <c r="AS43" i="3"/>
  <c r="AQ37" i="3"/>
  <c r="AQ42" i="3"/>
  <c r="AQ44" i="3"/>
  <c r="O31" i="3"/>
  <c r="AQ36" i="3"/>
  <c r="AS36" i="3"/>
  <c r="AQ53" i="3"/>
  <c r="AS44" i="3"/>
  <c r="AL50" i="3" a="1"/>
  <c r="AL50" i="3" s="1"/>
  <c r="AS47" i="3"/>
  <c r="AS48" i="3"/>
  <c r="AQ41" i="3"/>
  <c r="AQ52" i="3"/>
  <c r="AQ48" i="3"/>
  <c r="AN34" i="3" a="1"/>
  <c r="AN34" i="3" s="1"/>
  <c r="AQ51" i="3"/>
  <c r="AS34" i="3"/>
  <c r="AS42" i="3"/>
  <c r="AS41" i="3"/>
  <c r="AQ43" i="3"/>
  <c r="AS37" i="3"/>
  <c r="D181" i="3" a="1"/>
  <c r="D181" i="3" s="1"/>
  <c r="O567" i="3" l="1" a="1"/>
  <c r="O567" i="3" s="1"/>
  <c r="V597" i="3" a="1"/>
  <c r="V597" i="3" s="1"/>
  <c r="P595" i="3" a="1"/>
  <c r="P595" i="3" s="1"/>
  <c r="N595" i="3" a="1"/>
  <c r="N595" i="3" s="1"/>
  <c r="L602" i="3"/>
  <c r="P567" i="3" a="1"/>
  <c r="P567" i="3" s="1"/>
  <c r="N567" i="3" a="1"/>
  <c r="N567" i="3" s="1"/>
  <c r="W597" i="3" a="1"/>
  <c r="W597" i="3" s="1"/>
  <c r="Q595" i="3" a="1"/>
  <c r="Q595" i="3" s="1"/>
  <c r="O595" i="3" a="1"/>
  <c r="O595" i="3" s="1"/>
  <c r="M602" i="3"/>
  <c r="Q602" i="3" s="1" a="1"/>
  <c r="Q602" i="3" s="1"/>
  <c r="AF58" i="3" a="1"/>
  <c r="AF58" i="3" s="1"/>
  <c r="D94" i="3" a="1"/>
  <c r="D94" i="3" s="1"/>
  <c r="AG58" i="3" a="1"/>
  <c r="AG58" i="3" s="1"/>
  <c r="O33" i="3"/>
  <c r="O34" i="3"/>
  <c r="P602" i="3" l="1" a="1"/>
  <c r="P602" i="3" s="1"/>
  <c r="N602" i="3" a="1"/>
  <c r="N602" i="3" s="1"/>
  <c r="L603" i="3"/>
  <c r="L609" i="3" s="1"/>
  <c r="L615" i="3" s="1"/>
  <c r="O602" i="3" a="1"/>
  <c r="O602" i="3" s="1"/>
  <c r="M603" i="3"/>
  <c r="M609" i="3" s="1"/>
  <c r="M615" i="3" s="1"/>
  <c r="N41" i="3"/>
  <c r="N52" i="3"/>
  <c r="O52" i="3" s="1"/>
  <c r="F93" i="3" s="1" a="1"/>
  <c r="F93" i="3" s="1"/>
  <c r="N36" i="3"/>
  <c r="N77" i="3"/>
  <c r="O77" i="3" s="1"/>
  <c r="D112" i="3" s="1" a="1"/>
  <c r="D112" i="3" s="1"/>
  <c r="N78" i="3"/>
  <c r="O78" i="3" s="1"/>
  <c r="D113" i="3" s="1" a="1"/>
  <c r="D113" i="3" s="1"/>
  <c r="N76" i="3"/>
  <c r="O76" i="3" s="1"/>
  <c r="D111" i="3" s="1" a="1"/>
  <c r="D111" i="3" s="1"/>
  <c r="M616" i="3" l="1"/>
  <c r="M622" i="3" s="1"/>
  <c r="O615" i="3" a="1"/>
  <c r="O615" i="3" s="1"/>
  <c r="Q615" i="3" a="1"/>
  <c r="Q615" i="3" s="1"/>
  <c r="P615" i="3" a="1"/>
  <c r="P615" i="3" s="1"/>
  <c r="N615" i="3" a="1"/>
  <c r="N615" i="3" s="1"/>
  <c r="L616" i="3"/>
  <c r="L622" i="3" s="1"/>
  <c r="P609" i="3" a="1"/>
  <c r="P609" i="3" s="1"/>
  <c r="N609" i="3" a="1"/>
  <c r="N609" i="3" s="1"/>
  <c r="O609" i="3" a="1"/>
  <c r="O609" i="3" s="1"/>
  <c r="Q609" i="3" a="1"/>
  <c r="Q609" i="3" s="1"/>
  <c r="F90" i="3"/>
  <c r="O36" i="3"/>
  <c r="G90" i="3" s="1"/>
  <c r="F91" i="3"/>
  <c r="O41" i="3"/>
  <c r="G91" i="3" s="1"/>
  <c r="N622" i="3" l="1" a="1"/>
  <c r="N622" i="3" s="1"/>
  <c r="P622" i="3" a="1"/>
  <c r="P622" i="3" s="1"/>
  <c r="L626" i="3"/>
  <c r="M626" i="3"/>
  <c r="Q622" i="3" a="1"/>
  <c r="Q622" i="3" s="1"/>
  <c r="O622" i="3" a="1"/>
  <c r="O622" i="3" s="1"/>
  <c r="Q626" i="3" l="1" a="1"/>
  <c r="Q626" i="3" s="1"/>
  <c r="O626" i="3" a="1"/>
  <c r="O626" i="3" s="1"/>
  <c r="P626" i="3" a="1"/>
  <c r="P626" i="3" s="1"/>
  <c r="N626" i="3" a="1"/>
  <c r="N626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<sst xmlns="http://schemas.openxmlformats.org/spreadsheetml/2006/main" count="2213" uniqueCount="554">
  <si>
    <t>Rodzaj linii</t>
  </si>
  <si>
    <t>Kolor</t>
  </si>
  <si>
    <t>Nazwa</t>
  </si>
  <si>
    <t>Szerokość linii</t>
  </si>
  <si>
    <t>Warstwy</t>
  </si>
  <si>
    <t>Blachy</t>
  </si>
  <si>
    <t>Gradzinowanie</t>
  </si>
  <si>
    <t>Krzyżulce</t>
  </si>
  <si>
    <t>Osie</t>
  </si>
  <si>
    <t>Osie prętów</t>
  </si>
  <si>
    <t>Pasy</t>
  </si>
  <si>
    <t>Przekroje</t>
  </si>
  <si>
    <t>Przekroje przerywana</t>
  </si>
  <si>
    <t>Ramka</t>
  </si>
  <si>
    <t>Słup</t>
  </si>
  <si>
    <t>Śruby</t>
  </si>
  <si>
    <t>Tekst</t>
  </si>
  <si>
    <t>Continuous</t>
  </si>
  <si>
    <t>KRESKOWA</t>
  </si>
  <si>
    <t>skala</t>
  </si>
  <si>
    <t>KOLOR</t>
  </si>
  <si>
    <t>FF</t>
  </si>
  <si>
    <t>AA</t>
  </si>
  <si>
    <t>BD</t>
  </si>
  <si>
    <t>7E</t>
  </si>
  <si>
    <t>4F</t>
  </si>
  <si>
    <t>3F</t>
  </si>
  <si>
    <t>BF</t>
  </si>
  <si>
    <t>2E</t>
  </si>
  <si>
    <t>8D</t>
  </si>
  <si>
    <t>1F</t>
  </si>
  <si>
    <t>4E</t>
  </si>
  <si>
    <t>3B</t>
  </si>
  <si>
    <t>7F</t>
  </si>
  <si>
    <t>D4</t>
  </si>
  <si>
    <t>5E</t>
  </si>
  <si>
    <t>9D</t>
  </si>
  <si>
    <t>6B</t>
  </si>
  <si>
    <t>EA</t>
  </si>
  <si>
    <t>AD</t>
  </si>
  <si>
    <t>5F</t>
  </si>
  <si>
    <t>BE</t>
  </si>
  <si>
    <t>GRUBOŚCI LINII</t>
  </si>
  <si>
    <t>STYL LINII</t>
  </si>
  <si>
    <t>KRESKAKROPKAX2</t>
  </si>
  <si>
    <t>Parametry wiązara</t>
  </si>
  <si>
    <t>Spadek dachu [%]</t>
  </si>
  <si>
    <t>Typ wiązara</t>
  </si>
  <si>
    <t>V</t>
  </si>
  <si>
    <t>Pas górny</t>
  </si>
  <si>
    <t>Pas dolny</t>
  </si>
  <si>
    <t>Krzyżulec rozciągany</t>
  </si>
  <si>
    <t>Krzyżulec ściskany</t>
  </si>
  <si>
    <t>Płatew</t>
  </si>
  <si>
    <t>Osie wiązara</t>
  </si>
  <si>
    <t>Rozpiętość [mm]</t>
  </si>
  <si>
    <t>Wysokość wiązara [mm]</t>
  </si>
  <si>
    <t>Odstępy płatwi [mm]</t>
  </si>
  <si>
    <t>przedłużenie osi w linii słupa</t>
  </si>
  <si>
    <t>przedluzenie osi w pasie dolnym</t>
  </si>
  <si>
    <t>słup</t>
  </si>
  <si>
    <t>pas dolny</t>
  </si>
  <si>
    <t>krzyzulec rozciagany</t>
  </si>
  <si>
    <t>krzyzulec sciskany</t>
  </si>
  <si>
    <t>krzyzulec uciety</t>
  </si>
  <si>
    <t>pas górny</t>
  </si>
  <si>
    <t>h</t>
  </si>
  <si>
    <t>b</t>
  </si>
  <si>
    <t>r1</t>
  </si>
  <si>
    <t>HEA 100</t>
  </si>
  <si>
    <t>HEA 120</t>
  </si>
  <si>
    <t>HEA 140</t>
  </si>
  <si>
    <t>HEA 160</t>
  </si>
  <si>
    <t>HEA 180</t>
  </si>
  <si>
    <t>HEA 200</t>
  </si>
  <si>
    <t>HEA 220</t>
  </si>
  <si>
    <t>HEA 240</t>
  </si>
  <si>
    <t>h [mm]</t>
  </si>
  <si>
    <t xml:space="preserve"> b [mm]</t>
  </si>
  <si>
    <t xml:space="preserve"> tw [mm]</t>
  </si>
  <si>
    <t xml:space="preserve"> tf [mm]</t>
  </si>
  <si>
    <t xml:space="preserve"> r1 [mm]</t>
  </si>
  <si>
    <t>współczynnik od lewej gdzie przekrój w pasie</t>
  </si>
  <si>
    <t>x</t>
  </si>
  <si>
    <t>y</t>
  </si>
  <si>
    <t>(0;0) linie pas górny</t>
  </si>
  <si>
    <t>Punkt P</t>
  </si>
  <si>
    <t>Współrzędne w punkcie P</t>
  </si>
  <si>
    <t>Współrzędne po obrocie</t>
  </si>
  <si>
    <t>Kąt obrotu</t>
  </si>
  <si>
    <t>Przekrój pasa górnego</t>
  </si>
  <si>
    <t>przedłużenie osi od pasa</t>
  </si>
  <si>
    <t>Przecięcia</t>
  </si>
  <si>
    <t>x1</t>
  </si>
  <si>
    <t>y1</t>
  </si>
  <si>
    <t>x2</t>
  </si>
  <si>
    <t>y2</t>
  </si>
  <si>
    <t>warstwa</t>
  </si>
  <si>
    <t>LINIE</t>
  </si>
  <si>
    <t>xs</t>
  </si>
  <si>
    <t>ys</t>
  </si>
  <si>
    <t>r</t>
  </si>
  <si>
    <t>kat poczatkowy</t>
  </si>
  <si>
    <t>kat koncowy</t>
  </si>
  <si>
    <t>łuki przekroju pasa górnego</t>
  </si>
  <si>
    <t>ŁUKI</t>
  </si>
  <si>
    <t>Odległość szczytu słupa od przeciecia osi [mm]</t>
  </si>
  <si>
    <t>blachy wezlowe poziome</t>
  </si>
  <si>
    <t>grubosc [mm]</t>
  </si>
  <si>
    <t>szerokosc [mm]</t>
  </si>
  <si>
    <t>wysokosc [mm]</t>
  </si>
  <si>
    <t>ogranicznik przesuwu</t>
  </si>
  <si>
    <t>plytka centrujaca</t>
  </si>
  <si>
    <t>HEB 300</t>
  </si>
  <si>
    <t>faza</t>
  </si>
  <si>
    <t>żeberko glowicy slupa</t>
  </si>
  <si>
    <t>SŁUP</t>
  </si>
  <si>
    <t>wspólrzędne szczytu słupa</t>
  </si>
  <si>
    <t>odstep ogranicznik a plytka</t>
  </si>
  <si>
    <t>Przedłużenie słupa</t>
  </si>
  <si>
    <t>Przedłużenie linii przecięcia słupa</t>
  </si>
  <si>
    <t>wspołrzędne środka przekroju pasa dolnego</t>
  </si>
  <si>
    <t>łuki przekroju pasa dolnego</t>
  </si>
  <si>
    <t>współczynnik osi przeciecia pasa od osi przekroju</t>
  </si>
  <si>
    <t>Przekroj pasa dolnego</t>
  </si>
  <si>
    <t>Szczelina między słupem a pasem dolnym</t>
  </si>
  <si>
    <t>przecięcie wiązara</t>
  </si>
  <si>
    <t>przeciecie wiazara przedluzenie</t>
  </si>
  <si>
    <t>pas gorny</t>
  </si>
  <si>
    <t>osie płatwi</t>
  </si>
  <si>
    <t>przedłużenie osi płatwi</t>
  </si>
  <si>
    <t>Pas górny i dolny</t>
  </si>
  <si>
    <t>L40x40x4</t>
  </si>
  <si>
    <t>L40x40x5</t>
  </si>
  <si>
    <t>L40x40x6</t>
  </si>
  <si>
    <t>L45x45x4</t>
  </si>
  <si>
    <t>L45x45x5</t>
  </si>
  <si>
    <t>L45x45x6</t>
  </si>
  <si>
    <t>L50x50x4</t>
  </si>
  <si>
    <t>L50x50x5</t>
  </si>
  <si>
    <t>L50x50x6</t>
  </si>
  <si>
    <t>t</t>
  </si>
  <si>
    <t>r2</t>
  </si>
  <si>
    <t>L55x55x4</t>
  </si>
  <si>
    <t>L55x55x5</t>
  </si>
  <si>
    <t>L55x55x6</t>
  </si>
  <si>
    <t>L60x60x4</t>
  </si>
  <si>
    <t>L60x60x5</t>
  </si>
  <si>
    <t>L60x60x6</t>
  </si>
  <si>
    <t>L65x65x4</t>
  </si>
  <si>
    <t>L65x65x5</t>
  </si>
  <si>
    <t>L65x65x6</t>
  </si>
  <si>
    <t>L70x70x5</t>
  </si>
  <si>
    <t>L70x70x6</t>
  </si>
  <si>
    <t>L70x70x7</t>
  </si>
  <si>
    <t>L75x75x4</t>
  </si>
  <si>
    <t>L75x75x5</t>
  </si>
  <si>
    <t>L75x75x6</t>
  </si>
  <si>
    <t>L80x80x5</t>
  </si>
  <si>
    <t>L80x80x6</t>
  </si>
  <si>
    <t>L80x80x7</t>
  </si>
  <si>
    <t>L90x90x5</t>
  </si>
  <si>
    <t>L90x90x6</t>
  </si>
  <si>
    <t>L100x100x6</t>
  </si>
  <si>
    <t>L100x100x7</t>
  </si>
  <si>
    <t>t [mm]</t>
  </si>
  <si>
    <t>r1 [mm]</t>
  </si>
  <si>
    <t>r2 [mm]</t>
  </si>
  <si>
    <t>ey</t>
  </si>
  <si>
    <t>Krzyżulec trzeci</t>
  </si>
  <si>
    <t>a</t>
  </si>
  <si>
    <t>odleglosc krzyzulców od pasa</t>
  </si>
  <si>
    <t>ey [mm]</t>
  </si>
  <si>
    <t>p1</t>
  </si>
  <si>
    <t>p2</t>
  </si>
  <si>
    <t>przeciecie od konca przekroju krzyzulca</t>
  </si>
  <si>
    <t>Grubość przewiązek</t>
  </si>
  <si>
    <t>ilość przewiązek</t>
  </si>
  <si>
    <t>prosta p1p2</t>
  </si>
  <si>
    <t>odleglosc przeciecia od srodka osi krzyzulca</t>
  </si>
  <si>
    <t>p3</t>
  </si>
  <si>
    <t>p4</t>
  </si>
  <si>
    <t>prosta rownlolegla do osi krzyzulca przez p4</t>
  </si>
  <si>
    <t>p5</t>
  </si>
  <si>
    <t>rownolegla do osi w linii dolu krzyzulca</t>
  </si>
  <si>
    <t>prostopadla do krzyzulca przez kant blaczy wezlowej poziomej</t>
  </si>
  <si>
    <t>p6</t>
  </si>
  <si>
    <t>odleglosc p1-p6</t>
  </si>
  <si>
    <t>Spoiny krzyzulca rozciaganego</t>
  </si>
  <si>
    <t>l1</t>
  </si>
  <si>
    <t>a1</t>
  </si>
  <si>
    <t>l2</t>
  </si>
  <si>
    <t>a2</t>
  </si>
  <si>
    <t>p7</t>
  </si>
  <si>
    <t>odleglosc p8-p7</t>
  </si>
  <si>
    <t>prostopadla do osi przez p8</t>
  </si>
  <si>
    <t>p8</t>
  </si>
  <si>
    <t>p9</t>
  </si>
  <si>
    <t>Krzyżulec rozciągany - 1 część</t>
  </si>
  <si>
    <t>Przekrój krzyżulca rozciąganego</t>
  </si>
  <si>
    <t>(0;0) linie krzyzulec rozciagany</t>
  </si>
  <si>
    <t>Przedluzenie przeciecia ponad krzyzulec</t>
  </si>
  <si>
    <t>Przekroj krzyzulca rozciaganego</t>
  </si>
  <si>
    <t>Parametry Gradzinowania</t>
  </si>
  <si>
    <t>ANSI31</t>
  </si>
  <si>
    <t>Wzór</t>
  </si>
  <si>
    <t>Kąt</t>
  </si>
  <si>
    <t>Warstwa</t>
  </si>
  <si>
    <t>Skala</t>
  </si>
  <si>
    <t>Krzyżulec rozciągany - 2 część</t>
  </si>
  <si>
    <t>prosta gora pasa dolnego</t>
  </si>
  <si>
    <t>p10</t>
  </si>
  <si>
    <t>oś krzyzulca rozciaganego</t>
  </si>
  <si>
    <t>p11</t>
  </si>
  <si>
    <t>alfa</t>
  </si>
  <si>
    <t>beta</t>
  </si>
  <si>
    <t>p10 = 20</t>
  </si>
  <si>
    <t>p11 = 20</t>
  </si>
  <si>
    <t>beta-alfa</t>
  </si>
  <si>
    <t>d</t>
  </si>
  <si>
    <t>prosta prostopadla do osi przez p11</t>
  </si>
  <si>
    <t>Punkty p10 i p11 ostateczne</t>
  </si>
  <si>
    <t>p12</t>
  </si>
  <si>
    <t>p13</t>
  </si>
  <si>
    <t>rownolegla do osi przez p1</t>
  </si>
  <si>
    <t>p14</t>
  </si>
  <si>
    <t>p15</t>
  </si>
  <si>
    <t>p16</t>
  </si>
  <si>
    <t>prosta przeciecia niższa</t>
  </si>
  <si>
    <t>prosta przeciecia wyższa</t>
  </si>
  <si>
    <t>alfa - beta</t>
  </si>
  <si>
    <t>Krzyżulec ściaskany - 1 część</t>
  </si>
  <si>
    <t>kąt nachylenia</t>
  </si>
  <si>
    <t>prosta rownolegla do osi przez p2</t>
  </si>
  <si>
    <t>prosta rownolegla do osi przez p4</t>
  </si>
  <si>
    <t>prosta rownolegla do osi przez p3</t>
  </si>
  <si>
    <t>p1 = 20</t>
  </si>
  <si>
    <t>prosta rownolegla do pasa dolnego odsunieta w gore o wartosc przerwy</t>
  </si>
  <si>
    <t>p2 = 20</t>
  </si>
  <si>
    <t>Spoiny krzyżulca ściskanego</t>
  </si>
  <si>
    <t>alfa-beta</t>
  </si>
  <si>
    <t>Punkty p1 i p2 ostateczne</t>
  </si>
  <si>
    <t>Krzyżulec ściskany - 1 część dolna</t>
  </si>
  <si>
    <t>prostopadla do osi przez p1</t>
  </si>
  <si>
    <t>srodek przekroju krzyzulca</t>
  </si>
  <si>
    <t>Środek przekroju krzyzulca</t>
  </si>
  <si>
    <t>prosta przecięcia wyższa</t>
  </si>
  <si>
    <t>Przekrój krzyżulca ściskanego</t>
  </si>
  <si>
    <t>Przekroj krzyzulca sciskanego</t>
  </si>
  <si>
    <t>prosta rownolegla do pasa gornego odsunieta o wartość</t>
  </si>
  <si>
    <t>rownolegla do pasa gornego odsunieta o wartosc</t>
  </si>
  <si>
    <t>prosta prostopadla do osi przez p8</t>
  </si>
  <si>
    <t>os krzyzulca sciskanego</t>
  </si>
  <si>
    <t>Krzyzulec sciskany - 2 czesc wyzsza</t>
  </si>
  <si>
    <t>alfa+beta</t>
  </si>
  <si>
    <t>Krzyzulec 3</t>
  </si>
  <si>
    <t>os krzyzulca</t>
  </si>
  <si>
    <t>prosta prostopadla do osi przez p1</t>
  </si>
  <si>
    <t>rownolegla do osi przez p3</t>
  </si>
  <si>
    <t>kat nachylenia w ukladzie autocad</t>
  </si>
  <si>
    <t>kat nachylenia do obliczen</t>
  </si>
  <si>
    <t>rownolegla do osi przez p4</t>
  </si>
  <si>
    <t>Spoiny krzyzulca 3</t>
  </si>
  <si>
    <t>prostopadla do osi przez p4</t>
  </si>
  <si>
    <t>prosta przeciecia wiazara</t>
  </si>
  <si>
    <t>-</t>
  </si>
  <si>
    <t>Spoiny krzyzulca przy wezle podporowym</t>
  </si>
  <si>
    <t>Grubosc zeberka podporowego</t>
  </si>
  <si>
    <t>przedluzenie blachy wezlowej ponad krzyzulec</t>
  </si>
  <si>
    <t>Szerokość przewiązek</t>
  </si>
  <si>
    <t>Przewiązki</t>
  </si>
  <si>
    <t>Krzyzulec rozciagany</t>
  </si>
  <si>
    <t>długość w swietle</t>
  </si>
  <si>
    <t>Blacha wezłowa</t>
  </si>
  <si>
    <t>Blachy przerywana</t>
  </si>
  <si>
    <t>Blacha węzłowa</t>
  </si>
  <si>
    <t>px</t>
  </si>
  <si>
    <t>kat nachylenia do obliczeń</t>
  </si>
  <si>
    <t>py</t>
  </si>
  <si>
    <t>Żeberka podporowe</t>
  </si>
  <si>
    <t>prosta rownolegla do osi pasa gornego przez p7</t>
  </si>
  <si>
    <t>pas gorny dolna linia</t>
  </si>
  <si>
    <t>prosta rownolegla do osi pasa gornego przez p5</t>
  </si>
  <si>
    <t>Żeberko podporowe</t>
  </si>
  <si>
    <t>Blacha węzła pośredniego nr 1</t>
  </si>
  <si>
    <t>KR px</t>
  </si>
  <si>
    <t>KR py</t>
  </si>
  <si>
    <t>Kat nachylenia KR</t>
  </si>
  <si>
    <t>Kat nachylenia KS</t>
  </si>
  <si>
    <t>KS px</t>
  </si>
  <si>
    <t>KS py</t>
  </si>
  <si>
    <t>PP1</t>
  </si>
  <si>
    <t>PP2</t>
  </si>
  <si>
    <t>Blacha wezla pośredniego nr 1</t>
  </si>
  <si>
    <t>Blacha węzła pośredniego nr 2</t>
  </si>
  <si>
    <t>Kat nachylenia K3</t>
  </si>
  <si>
    <t>K3 px</t>
  </si>
  <si>
    <t>K3 py</t>
  </si>
  <si>
    <t>prosta prostopadla do pasa gornego przez KS py</t>
  </si>
  <si>
    <t>prosta prostopadla do pasa gornego przez K3 py</t>
  </si>
  <si>
    <t>Poszerzenie przewiązek</t>
  </si>
  <si>
    <t>(0;0) linie przewiazki</t>
  </si>
  <si>
    <t>kat obrotu</t>
  </si>
  <si>
    <t>Przedlużenie osi przeiwązek</t>
  </si>
  <si>
    <t>Środek krzyzulca rozciaganego w osi w świetle</t>
  </si>
  <si>
    <t>PO1</t>
  </si>
  <si>
    <t>PO2</t>
  </si>
  <si>
    <t>prosta prostopadla do osi przez KR px</t>
  </si>
  <si>
    <t>srodek krzyzulca w swietle</t>
  </si>
  <si>
    <t>Przekrój w przekrojach krzyzulcow w swietle</t>
  </si>
  <si>
    <t>Środek krzyzulca sciskanego w osi w swietle</t>
  </si>
  <si>
    <t>prostopadla do osi przez PO3</t>
  </si>
  <si>
    <t>prostopadla do osi przez PO4</t>
  </si>
  <si>
    <t>PO3</t>
  </si>
  <si>
    <t>PO4</t>
  </si>
  <si>
    <t>Środek krzyzulca w swietle</t>
  </si>
  <si>
    <t>Przewiazka nr 1 KR</t>
  </si>
  <si>
    <t>Przewiazka nr 2 KR</t>
  </si>
  <si>
    <t>Przewiazka nr 3 KR</t>
  </si>
  <si>
    <t>Przewiazka nr 4 KR</t>
  </si>
  <si>
    <t>Przewiazka nr 5 KR</t>
  </si>
  <si>
    <t>Przewiązka nr 6 KR</t>
  </si>
  <si>
    <t>Przewiazka nr 1 KS</t>
  </si>
  <si>
    <t>Przewiazka nr 2 KS</t>
  </si>
  <si>
    <t>Przewiazka nr 3 KS</t>
  </si>
  <si>
    <t>Przewiazka nr 4 KS</t>
  </si>
  <si>
    <t>Przewiazka nr 5 KS</t>
  </si>
  <si>
    <t>Przewiązka nr 6 KS</t>
  </si>
  <si>
    <t>Krzyzulec sciskany</t>
  </si>
  <si>
    <t>Katownik w pasie dolnym</t>
  </si>
  <si>
    <t>b [mm]</t>
  </si>
  <si>
    <t>Katownik pasa dolnego</t>
  </si>
  <si>
    <t>Łuki katownika pasa dolnego</t>
  </si>
  <si>
    <t>Małe trójkaty</t>
  </si>
  <si>
    <t>A</t>
  </si>
  <si>
    <t>B</t>
  </si>
  <si>
    <t>C</t>
  </si>
  <si>
    <t>Trojkat przy pasie gornym</t>
  </si>
  <si>
    <t>srodek AB</t>
  </si>
  <si>
    <t>srodek BC</t>
  </si>
  <si>
    <t>srodek AC</t>
  </si>
  <si>
    <t>srodkowa A</t>
  </si>
  <si>
    <t>srodkowa B</t>
  </si>
  <si>
    <t>srodkowa C</t>
  </si>
  <si>
    <t>Współczynnik pomniejszenia małych trójkatów</t>
  </si>
  <si>
    <t>przeciecie srodkowch S</t>
  </si>
  <si>
    <t>odleglość AS</t>
  </si>
  <si>
    <t>odległość SP1</t>
  </si>
  <si>
    <t>kat nachylenia ŚA</t>
  </si>
  <si>
    <t>P1</t>
  </si>
  <si>
    <t>odleglosc BS</t>
  </si>
  <si>
    <t>odleglosc SP2</t>
  </si>
  <si>
    <t>kat nachylenia ŚB</t>
  </si>
  <si>
    <t>P2</t>
  </si>
  <si>
    <t>odleglosc CS</t>
  </si>
  <si>
    <t>odleglosc SP3</t>
  </si>
  <si>
    <t>kat nachylenia ŚC</t>
  </si>
  <si>
    <t>P3</t>
  </si>
  <si>
    <t>Mały trojkąt przy pasie górnym</t>
  </si>
  <si>
    <t>Mały trójkat przy pasie dolnym</t>
  </si>
  <si>
    <t>Trójkat przy pasie dolnym</t>
  </si>
  <si>
    <t>M16 - pas dolny</t>
  </si>
  <si>
    <t>w układzie (0;0)</t>
  </si>
  <si>
    <t>długość śruby</t>
  </si>
  <si>
    <t>szpara</t>
  </si>
  <si>
    <t>przer</t>
  </si>
  <si>
    <t>os</t>
  </si>
  <si>
    <t>przedluzenie osi</t>
  </si>
  <si>
    <t>Śruba M16 pas dolny</t>
  </si>
  <si>
    <t>punkt polozenia</t>
  </si>
  <si>
    <t>Odsuniecie śruby od konca pasa dolnego</t>
  </si>
  <si>
    <t>Śruby kreskowa</t>
  </si>
  <si>
    <t>Śruby kreskakropka</t>
  </si>
  <si>
    <t>Śruba M20 przy wezle podporowym prawa</t>
  </si>
  <si>
    <t>Śruba M20 przy wezle podporowym lewa</t>
  </si>
  <si>
    <t>Płatwie</t>
  </si>
  <si>
    <t>tw</t>
  </si>
  <si>
    <t>tf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</si>
  <si>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</si>
  <si>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</si>
  <si>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</si>
  <si>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</si>
  <si>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</si>
  <si>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</si>
  <si>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</si>
  <si>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</si>
  <si>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</si>
  <si>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</si>
  <si>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(0;0) łuki</t>
  </si>
  <si>
    <t>Linie Płatwi</t>
  </si>
  <si>
    <t>(0;0) linie</t>
  </si>
  <si>
    <t>Klocek</t>
  </si>
  <si>
    <t>katowniki do płatwi</t>
  </si>
  <si>
    <t>L65x50x8</t>
  </si>
  <si>
    <t>L80x60x8</t>
  </si>
  <si>
    <t>L90x65x10</t>
  </si>
  <si>
    <t>L100x65x10</t>
  </si>
  <si>
    <t>L125x75x10</t>
  </si>
  <si>
    <t>L150x75x10</t>
  </si>
  <si>
    <t>L200x100x10</t>
  </si>
  <si>
    <t xml:space="preserve">katowniki nierownomierne </t>
  </si>
  <si>
    <t>Kątownik do płatwi</t>
  </si>
  <si>
    <t>poszerzenie</t>
  </si>
  <si>
    <t>dlugosc blachy</t>
  </si>
  <si>
    <t>Kątownik płatwi</t>
  </si>
  <si>
    <t>Katownik płatwi</t>
  </si>
  <si>
    <t>Rozstaw srub przy wezle podporowym</t>
  </si>
  <si>
    <t>Przedłużenie poziomej osi płatwi</t>
  </si>
  <si>
    <t>L150x90x10</t>
  </si>
  <si>
    <t>oś</t>
  </si>
  <si>
    <t>M20 - wezeł podporowy</t>
  </si>
  <si>
    <t>M16 - płatew</t>
  </si>
  <si>
    <t>kat obrotu srub o -90 stopni</t>
  </si>
  <si>
    <t>Śruba wyższa</t>
  </si>
  <si>
    <t>Płatew lewa</t>
  </si>
  <si>
    <t>Śruba niższa</t>
  </si>
  <si>
    <t>Gdzie płatwie</t>
  </si>
  <si>
    <t>prosta osi platwi lewej</t>
  </si>
  <si>
    <t>prosta osi platwi prawej</t>
  </si>
  <si>
    <t>Punkt platwi lewej</t>
  </si>
  <si>
    <t>Punkt platwi prawej</t>
  </si>
  <si>
    <t>prosta gory pasa gornego</t>
  </si>
  <si>
    <t>Płatew lewa obrocona i w punkcie ostatecznym</t>
  </si>
  <si>
    <t>punkt lewej</t>
  </si>
  <si>
    <t>punkt prawej</t>
  </si>
  <si>
    <t>Płatew prawa obrocona i w punkcie ostatecznym</t>
  </si>
  <si>
    <t>Płatew prawa</t>
  </si>
  <si>
    <t>Słup przerywana</t>
  </si>
  <si>
    <t>Słup kreskakropka</t>
  </si>
  <si>
    <t>dodatkowe przedluzenie osi płatwi o wartość</t>
  </si>
  <si>
    <t>Przekrój A-A</t>
  </si>
  <si>
    <t>Fazy</t>
  </si>
  <si>
    <t>Długość pionu zeberka podporowego</t>
  </si>
  <si>
    <t>Szczelina pomiędzy płatwiami</t>
  </si>
  <si>
    <t>odsuniecie osi przekroju w lewo</t>
  </si>
  <si>
    <t>Przedłużenie słupa względem zeberka glowicy slupa</t>
  </si>
  <si>
    <t>przedłużenie osi ponad płatew</t>
  </si>
  <si>
    <t>przeciecie slupa</t>
  </si>
  <si>
    <t>przedluzenie przeciecia slupa</t>
  </si>
  <si>
    <t>gorna blacha wezlowa pozioma</t>
  </si>
  <si>
    <t>dolna blacha wezlowa pozioma</t>
  </si>
  <si>
    <t>srodnik slupa</t>
  </si>
  <si>
    <t>zebro glowicy slupa</t>
  </si>
  <si>
    <t>półki słupa</t>
  </si>
  <si>
    <t>prosta lewej półki slupa</t>
  </si>
  <si>
    <t>prosta prawej półki słupa</t>
  </si>
  <si>
    <t>prosta dolnej powierzchni dolnej blachy wezlowej poziomej</t>
  </si>
  <si>
    <t>prosta skoska zeberka glowicy slupa - lewa</t>
  </si>
  <si>
    <t>prosta skosna zeberka glowicy slupa - prawa</t>
  </si>
  <si>
    <t>p lewa</t>
  </si>
  <si>
    <t>p prawa</t>
  </si>
  <si>
    <t>przedluzenie osi ponizej przeciecie slupa</t>
  </si>
  <si>
    <t>Grupy gradzinowań</t>
  </si>
  <si>
    <t>blacha wezlowa</t>
  </si>
  <si>
    <t>Przekroj pasa gornego</t>
  </si>
  <si>
    <t>pas gorny (0;0)</t>
  </si>
  <si>
    <t>pas gorny w punkcie</t>
  </si>
  <si>
    <t>łuki (0;0)</t>
  </si>
  <si>
    <t>Grupa gradzinowania</t>
  </si>
  <si>
    <t>zeberka podporowe dolne</t>
  </si>
  <si>
    <t>zeberko podporowe gorne</t>
  </si>
  <si>
    <t>płatwie</t>
  </si>
  <si>
    <t xml:space="preserve">długość płatwi w każda strone </t>
  </si>
  <si>
    <t>przedluzenie przeciecia platwi</t>
  </si>
  <si>
    <t>wymiary klocka</t>
  </si>
  <si>
    <t>grubosc</t>
  </si>
  <si>
    <t>szerokosc</t>
  </si>
  <si>
    <t>długość</t>
  </si>
  <si>
    <t>odleglosc klocka od krawedzi</t>
  </si>
  <si>
    <t>klocek</t>
  </si>
  <si>
    <t>katownik platwi</t>
  </si>
  <si>
    <t>odleglosc katownika platwi od krawedzi klocka</t>
  </si>
  <si>
    <t>Otwory w katowniku platwi</t>
  </si>
  <si>
    <t>Długość kątownika</t>
  </si>
  <si>
    <t>promien otworu na sruby w katowniku platwi</t>
  </si>
  <si>
    <t>Punkty położenia śrub</t>
  </si>
  <si>
    <t>Śruba lewa</t>
  </si>
  <si>
    <t>Sruba prawa</t>
  </si>
  <si>
    <t>Łuki w punkcie</t>
  </si>
  <si>
    <t>Przekrój B-B</t>
  </si>
  <si>
    <t>Odsuniecie przekroju B-B ad A-A</t>
  </si>
  <si>
    <t>blacha wezlowa pozioma</t>
  </si>
  <si>
    <t>blacha wezlowa pionowa</t>
  </si>
  <si>
    <t>zeberka podporowe</t>
  </si>
  <si>
    <t>ogranicznik przesuwu lewy</t>
  </si>
  <si>
    <t>ogranicznik przesuwu prawy</t>
  </si>
  <si>
    <t>Przekroj B-B</t>
  </si>
  <si>
    <t>dlugosc ramion osi otworow na sruby</t>
  </si>
  <si>
    <t>osie otworow na sruby</t>
  </si>
  <si>
    <t>Przekroj C-C</t>
  </si>
  <si>
    <t>przedłużenie pasa dolnego</t>
  </si>
  <si>
    <t>łuki</t>
  </si>
  <si>
    <t>promien</t>
  </si>
  <si>
    <t>grupa gradzinowania</t>
  </si>
  <si>
    <t>przedłużenie osi słupa</t>
  </si>
  <si>
    <t>katownik</t>
  </si>
  <si>
    <t>przedluzenie przeciecia pasa dolnego</t>
  </si>
  <si>
    <t>otwory</t>
  </si>
  <si>
    <t>odleglość przekroju od przeciecia slupa</t>
  </si>
  <si>
    <t>Przekrój C-C w (0;0)</t>
  </si>
  <si>
    <t>promien otworu na srube</t>
  </si>
  <si>
    <t>dlugosc otworu na sruby</t>
  </si>
  <si>
    <t>przewiazka KR</t>
  </si>
  <si>
    <t>ponięzej punktu (0;0)</t>
  </si>
  <si>
    <t>odleglosc pomiedzy blachami</t>
  </si>
  <si>
    <t>przesunięcie</t>
  </si>
  <si>
    <t>Blachy w dobrym miejscu</t>
  </si>
  <si>
    <t>Blachy w (0;0)</t>
  </si>
  <si>
    <t>przewiazka KS</t>
  </si>
  <si>
    <t>blacha wezla posredniego przy PS</t>
  </si>
  <si>
    <t>blacha wezła posredniego przy PG po obrocie</t>
  </si>
  <si>
    <t>blacha wezla posredniego przy PG po obrocie</t>
  </si>
  <si>
    <t>zeberko glowicy slupa</t>
  </si>
  <si>
    <t>płytka centrujaca</t>
  </si>
  <si>
    <t>przekroj nizej o</t>
  </si>
  <si>
    <t>przedluzenie osi ogranicznika</t>
  </si>
  <si>
    <t>os sruby</t>
  </si>
  <si>
    <t>Otwory w ograniczniku przesuwu</t>
  </si>
  <si>
    <t>Srodki okregów w (0;0)</t>
  </si>
  <si>
    <t>zeberko podporowe dolne</t>
  </si>
  <si>
    <t>Blachy wyciągniete</t>
  </si>
  <si>
    <t>Tabela</t>
  </si>
  <si>
    <t>Numer</t>
  </si>
  <si>
    <t>Element</t>
  </si>
  <si>
    <t>Wymiary [mm]</t>
  </si>
  <si>
    <t>Żebro głowicy słupa</t>
  </si>
  <si>
    <t>Wysokość hali</t>
  </si>
  <si>
    <t>Rozstaw słupów głównych</t>
  </si>
  <si>
    <t>Blacha węzłowa pozioma</t>
  </si>
  <si>
    <t>Ogranicznik przesuwu</t>
  </si>
  <si>
    <t>Płytka centrująca</t>
  </si>
  <si>
    <t>Obliczenia wymiary</t>
  </si>
  <si>
    <t>grubość</t>
  </si>
  <si>
    <t>wysokosc/dlugosc</t>
  </si>
  <si>
    <t>Blacha węzłowa pionowa</t>
  </si>
  <si>
    <t>Blacha ograniczająca</t>
  </si>
  <si>
    <t>Katownik przy płatwi</t>
  </si>
  <si>
    <t>Krzyżulec rozciagany</t>
  </si>
  <si>
    <t>Przewiązka</t>
  </si>
  <si>
    <t>Żebro podporowe</t>
  </si>
  <si>
    <t>Przewiązka KS</t>
  </si>
  <si>
    <t>Przy PS</t>
  </si>
  <si>
    <t>Przy PG</t>
  </si>
  <si>
    <t>Śruby M16</t>
  </si>
  <si>
    <t>Śruby M20</t>
  </si>
  <si>
    <t>Położenie tabeli</t>
  </si>
  <si>
    <t>ilość wierszy</t>
  </si>
  <si>
    <t>ilość kolumn</t>
  </si>
  <si>
    <t>wysokosc wiersza</t>
  </si>
  <si>
    <t>szerokosc kolumn</t>
  </si>
  <si>
    <t>wysokosc tekstu</t>
  </si>
  <si>
    <t>L75x75x7</t>
  </si>
  <si>
    <t>TABLICA ZEPSUCIA CZEGOŚ</t>
  </si>
  <si>
    <t xml:space="preserve">1. Otworzyc AutoCAD'a
2. Zmienić skalę na 1:10
3. Wprowadzić zmiany w tym pliku i ZAPISAĆ GO (CZERWONE komórki - zmienić pod swój projekt, ŻÓŁTE komórki - można zmienić ale niezalecane)
4. Uruchomić start.py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</si>
</sst>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Aptos Narrow"/>
      <family val="2"/>
      <charset val="238"/>
      <scheme val="minor"/>
    </font>
    <font>
      <sz val="11"/>
      <color theme="1"/>
      <name val="Times New Roman"/>
      <family val="1"/>
      <charset val="238"/>
    </font>
    <font>
      <b/>
      <sz val="11"/>
      <color theme="1"/>
      <name val="Times New Roman"/>
      <family val="1"/>
      <charset val="238"/>
    </font>
    <font>
      <b/>
      <sz val="11"/>
      <color rgb="FFFFFFFF"/>
      <name val="Times New Roman"/>
      <family val="1"/>
      <charset val="238"/>
    </font>
    <font>
      <sz val="11"/>
      <color rgb="FFFFFFFF"/>
      <name val="Aptos Narrow"/>
      <family val="2"/>
      <charset val="238"/>
      <scheme val="minor"/>
    </font>
    <font>
      <sz val="10"/>
      <color theme="1"/>
      <name val="Arial Unicode MS"/>
      <family val="2"/>
      <charset val="238"/>
    </font>
    <font>
      <sz val="11"/>
      <color theme="1" tint="4.9989318521683403E-2"/>
      <name val="Aptos Narrow"/>
      <family val="2"/>
      <charset val="238"/>
      <scheme val="minor"/>
    </font>
    <font>
      <sz val="8"/>
      <name val="Aptos Narrow"/>
      <family val="2"/>
      <charset val="238"/>
      <scheme val="minor"/>
    </font>
    <font>
      <sz val="36"/>
      <color theme="1"/>
      <name val="Aptos Narrow"/>
      <family val="2"/>
      <scheme val="minor"/>
    </font>
    <font>
      <sz val="36"/>
      <color theme="1"/>
      <name val="Aptos Narrow"/>
      <family val="2"/>
      <charset val="238"/>
      <scheme val="minor"/>
    </font>
    <font>
      <sz val="28"/>
      <color theme="1"/>
      <name val="Aptos Narrow"/>
      <family val="2"/>
      <scheme val="minor"/>
    </font>
  </fonts>
  <fills count="25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41414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AAAA"/>
        <bgColor indexed="64"/>
      </patternFill>
    </fill>
    <fill>
      <patternFill patternType="solid">
        <fgColor rgb="FFBD0000"/>
        <bgColor indexed="64"/>
      </patternFill>
    </fill>
    <fill>
      <patternFill patternType="solid">
        <fgColor rgb="FFBD7E7E"/>
        <bgColor indexed="64"/>
      </patternFill>
    </fill>
    <fill>
      <patternFill patternType="solid">
        <fgColor rgb="FF810000"/>
        <bgColor indexed="64"/>
      </patternFill>
    </fill>
    <fill>
      <patternFill patternType="solid">
        <fgColor rgb="FF815656"/>
        <bgColor indexed="64"/>
      </patternFill>
    </fill>
    <fill>
      <patternFill patternType="solid">
        <fgColor rgb="FF680000"/>
        <bgColor indexed="64"/>
      </patternFill>
    </fill>
    <fill>
      <patternFill patternType="solid">
        <fgColor rgb="FF684545"/>
        <bgColor indexed="64"/>
      </patternFill>
    </fill>
    <fill>
      <patternFill patternType="solid">
        <fgColor rgb="FF4F0000"/>
        <bgColor indexed="64"/>
      </patternFill>
    </fill>
    <fill>
      <patternFill patternType="solid">
        <fgColor rgb="FF4F3535"/>
        <bgColor indexed="64"/>
      </patternFill>
    </fill>
    <fill>
      <patternFill patternType="solid">
        <fgColor rgb="FFFF3F00"/>
        <bgColor indexed="64"/>
      </patternFill>
    </fill>
    <fill>
      <patternFill patternType="solid">
        <fgColor rgb="FFFFBFAA"/>
        <bgColor indexed="64"/>
      </patternFill>
    </fill>
    <fill>
      <patternFill patternType="solid">
        <fgColor rgb="FFBD2E00"/>
        <bgColor indexed="64"/>
      </patternFill>
    </fill>
    <fill>
      <patternFill patternType="solid">
        <fgColor rgb="FFBD8D7E"/>
        <bgColor indexed="64"/>
      </patternFill>
    </fill>
    <fill>
      <patternFill patternType="solid">
        <fgColor rgb="FF811F00"/>
        <bgColor indexed="64"/>
      </patternFill>
    </fill>
    <fill>
      <patternFill patternType="solid">
        <fgColor rgb="FF816056"/>
        <bgColor indexed="64"/>
      </patternFill>
    </fill>
    <fill>
      <patternFill patternType="solid">
        <fgColor rgb="FF681900"/>
        <bgColor indexed="64"/>
      </patternFill>
    </fill>
    <fill>
      <patternFill patternType="solid">
        <fgColor rgb="FF684E45"/>
        <bgColor indexed="64"/>
      </patternFill>
    </fill>
    <fill>
      <patternFill patternType="solid">
        <fgColor rgb="FF4F1300"/>
        <bgColor indexed="64"/>
      </patternFill>
    </fill>
    <fill>
      <patternFill patternType="solid">
        <fgColor rgb="FF4F3B35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FFD4AA"/>
        <bgColor indexed="64"/>
      </patternFill>
    </fill>
    <fill>
      <patternFill patternType="solid">
        <fgColor rgb="FFBD5E00"/>
        <bgColor indexed="64"/>
      </patternFill>
    </fill>
    <fill>
      <patternFill patternType="solid">
        <fgColor rgb="FFBD9D7E"/>
        <bgColor indexed="64"/>
      </patternFill>
    </fill>
    <fill>
      <patternFill patternType="solid">
        <fgColor rgb="FF814000"/>
        <bgColor indexed="64"/>
      </patternFill>
    </fill>
    <fill>
      <patternFill patternType="solid">
        <fgColor rgb="FF816B56"/>
        <bgColor indexed="64"/>
      </patternFill>
    </fill>
    <fill>
      <patternFill patternType="solid">
        <fgColor rgb="FF683400"/>
        <bgColor indexed="64"/>
      </patternFill>
    </fill>
    <fill>
      <patternFill patternType="solid">
        <fgColor rgb="FF685645"/>
        <bgColor indexed="64"/>
      </patternFill>
    </fill>
    <fill>
      <patternFill patternType="solid">
        <fgColor rgb="FF4F2700"/>
        <bgColor indexed="64"/>
      </patternFill>
    </fill>
    <fill>
      <patternFill patternType="solid">
        <fgColor rgb="FF4F4235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FFEAAA"/>
        <bgColor indexed="64"/>
      </patternFill>
    </fill>
    <fill>
      <patternFill patternType="solid">
        <fgColor rgb="FFBD8D00"/>
        <bgColor indexed="64"/>
      </patternFill>
    </fill>
    <fill>
      <patternFill patternType="solid">
        <fgColor rgb="FFBDAD7E"/>
        <bgColor indexed="64"/>
      </patternFill>
    </fill>
    <fill>
      <patternFill patternType="solid">
        <fgColor rgb="FF816000"/>
        <bgColor indexed="64"/>
      </patternFill>
    </fill>
    <fill>
      <patternFill patternType="solid">
        <fgColor rgb="FF817656"/>
        <bgColor indexed="64"/>
      </patternFill>
    </fill>
    <fill>
      <patternFill patternType="solid">
        <fgColor rgb="FF684E00"/>
        <bgColor indexed="64"/>
      </patternFill>
    </fill>
    <fill>
      <patternFill patternType="solid">
        <fgColor rgb="FF685F45"/>
        <bgColor indexed="64"/>
      </patternFill>
    </fill>
    <fill>
      <patternFill patternType="solid">
        <fgColor rgb="FF4F3B00"/>
        <bgColor indexed="64"/>
      </patternFill>
    </fill>
    <fill>
      <patternFill patternType="solid">
        <fgColor rgb="FF4F4935"/>
        <bgColor indexed="64"/>
      </patternFill>
    </fill>
    <fill>
      <patternFill patternType="solid">
        <fgColor rgb="FFFFFFAA"/>
        <bgColor indexed="64"/>
      </patternFill>
    </fill>
    <fill>
      <patternFill patternType="solid">
        <fgColor rgb="FFBDBD00"/>
        <bgColor indexed="64"/>
      </patternFill>
    </fill>
    <fill>
      <patternFill patternType="solid">
        <fgColor rgb="FFBDBD7E"/>
        <bgColor indexed="64"/>
      </patternFill>
    </fill>
    <fill>
      <patternFill patternType="solid">
        <fgColor rgb="FF818100"/>
        <bgColor indexed="64"/>
      </patternFill>
    </fill>
    <fill>
      <patternFill patternType="solid">
        <fgColor rgb="FF818156"/>
        <bgColor indexed="64"/>
      </patternFill>
    </fill>
    <fill>
      <patternFill patternType="solid">
        <fgColor rgb="FF686800"/>
        <bgColor indexed="64"/>
      </patternFill>
    </fill>
    <fill>
      <patternFill patternType="solid">
        <fgColor rgb="FF686845"/>
        <bgColor indexed="64"/>
      </patternFill>
    </fill>
    <fill>
      <patternFill patternType="solid">
        <fgColor rgb="FF4F4F00"/>
        <bgColor indexed="64"/>
      </patternFill>
    </fill>
    <fill>
      <patternFill patternType="solid">
        <fgColor rgb="FF4F4F35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EAFFAA"/>
        <bgColor indexed="64"/>
      </patternFill>
    </fill>
    <fill>
      <patternFill patternType="solid">
        <fgColor rgb="FF8DBD00"/>
        <bgColor indexed="64"/>
      </patternFill>
    </fill>
    <fill>
      <patternFill patternType="solid">
        <fgColor rgb="FFADBD7E"/>
        <bgColor indexed="64"/>
      </patternFill>
    </fill>
    <fill>
      <patternFill patternType="solid">
        <fgColor rgb="FF608100"/>
        <bgColor indexed="64"/>
      </patternFill>
    </fill>
    <fill>
      <patternFill patternType="solid">
        <fgColor rgb="FF768156"/>
        <bgColor indexed="64"/>
      </patternFill>
    </fill>
    <fill>
      <patternFill patternType="solid">
        <fgColor rgb="FF4E6800"/>
        <bgColor indexed="64"/>
      </patternFill>
    </fill>
    <fill>
      <patternFill patternType="solid">
        <fgColor rgb="FF5F6845"/>
        <bgColor indexed="64"/>
      </patternFill>
    </fill>
    <fill>
      <patternFill patternType="solid">
        <fgColor rgb="FF3B4F00"/>
        <bgColor indexed="64"/>
      </patternFill>
    </fill>
    <fill>
      <patternFill patternType="solid">
        <fgColor rgb="FF494F35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4FFAA"/>
        <bgColor indexed="64"/>
      </patternFill>
    </fill>
    <fill>
      <patternFill patternType="solid">
        <fgColor rgb="FF5EBD00"/>
        <bgColor indexed="64"/>
      </patternFill>
    </fill>
    <fill>
      <patternFill patternType="solid">
        <fgColor rgb="FF9DBD7E"/>
        <bgColor indexed="64"/>
      </patternFill>
    </fill>
    <fill>
      <patternFill patternType="solid">
        <fgColor rgb="FF408100"/>
        <bgColor indexed="64"/>
      </patternFill>
    </fill>
    <fill>
      <patternFill patternType="solid">
        <fgColor rgb="FF6B8156"/>
        <bgColor indexed="64"/>
      </patternFill>
    </fill>
    <fill>
      <patternFill patternType="solid">
        <fgColor rgb="FF346800"/>
        <bgColor indexed="64"/>
      </patternFill>
    </fill>
    <fill>
      <patternFill patternType="solid">
        <fgColor rgb="FF566845"/>
        <bgColor indexed="64"/>
      </patternFill>
    </fill>
    <fill>
      <patternFill patternType="solid">
        <fgColor rgb="FF274F00"/>
        <bgColor indexed="64"/>
      </patternFill>
    </fill>
    <fill>
      <patternFill patternType="solid">
        <fgColor rgb="FF424F35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BFFFAA"/>
        <bgColor indexed="64"/>
      </patternFill>
    </fill>
    <fill>
      <patternFill patternType="solid">
        <fgColor rgb="FF2EBD00"/>
        <bgColor indexed="64"/>
      </patternFill>
    </fill>
    <fill>
      <patternFill patternType="solid">
        <fgColor rgb="FF8DBD7E"/>
        <bgColor indexed="64"/>
      </patternFill>
    </fill>
    <fill>
      <patternFill patternType="solid">
        <fgColor rgb="FF1F8100"/>
        <bgColor indexed="64"/>
      </patternFill>
    </fill>
    <fill>
      <patternFill patternType="solid">
        <fgColor rgb="FF608156"/>
        <bgColor indexed="64"/>
      </patternFill>
    </fill>
    <fill>
      <patternFill patternType="solid">
        <fgColor rgb="FF196800"/>
        <bgColor indexed="64"/>
      </patternFill>
    </fill>
    <fill>
      <patternFill patternType="solid">
        <fgColor rgb="FF4E6845"/>
        <bgColor indexed="64"/>
      </patternFill>
    </fill>
    <fill>
      <patternFill patternType="solid">
        <fgColor rgb="FF134F00"/>
        <bgColor indexed="64"/>
      </patternFill>
    </fill>
    <fill>
      <patternFill patternType="solid">
        <fgColor rgb="FF3B4F35"/>
        <bgColor indexed="64"/>
      </patternFill>
    </fill>
    <fill>
      <patternFill patternType="solid">
        <fgColor rgb="FFAAFFAA"/>
        <bgColor indexed="64"/>
      </patternFill>
    </fill>
    <fill>
      <patternFill patternType="solid">
        <fgColor rgb="FF00BD00"/>
        <bgColor indexed="64"/>
      </patternFill>
    </fill>
    <fill>
      <patternFill patternType="solid">
        <fgColor rgb="FF7EBD7E"/>
        <bgColor indexed="64"/>
      </patternFill>
    </fill>
    <fill>
      <patternFill patternType="solid">
        <fgColor rgb="FF008100"/>
        <bgColor indexed="64"/>
      </patternFill>
    </fill>
    <fill>
      <patternFill patternType="solid">
        <fgColor rgb="FF568156"/>
        <bgColor indexed="64"/>
      </patternFill>
    </fill>
    <fill>
      <patternFill patternType="solid">
        <fgColor rgb="FF006800"/>
        <bgColor indexed="64"/>
      </patternFill>
    </fill>
    <fill>
      <patternFill patternType="solid">
        <fgColor rgb="FF456845"/>
        <bgColor indexed="64"/>
      </patternFill>
    </fill>
    <fill>
      <patternFill patternType="solid">
        <fgColor rgb="FF004F00"/>
        <bgColor indexed="64"/>
      </patternFill>
    </fill>
    <fill>
      <patternFill patternType="solid">
        <fgColor rgb="FF354F35"/>
        <bgColor indexed="64"/>
      </patternFill>
    </fill>
    <fill>
      <patternFill patternType="solid">
        <fgColor rgb="FF00FF3F"/>
        <bgColor indexed="64"/>
      </patternFill>
    </fill>
    <fill>
      <patternFill patternType="solid">
        <fgColor rgb="FFAAFFBF"/>
        <bgColor indexed="64"/>
      </patternFill>
    </fill>
    <fill>
      <patternFill patternType="solid">
        <fgColor rgb="FF00BD2E"/>
        <bgColor indexed="64"/>
      </patternFill>
    </fill>
    <fill>
      <patternFill patternType="solid">
        <fgColor rgb="FF7EBD8D"/>
        <bgColor indexed="64"/>
      </patternFill>
    </fill>
    <fill>
      <patternFill patternType="solid">
        <fgColor rgb="FF00811F"/>
        <bgColor indexed="64"/>
      </patternFill>
    </fill>
    <fill>
      <patternFill patternType="solid">
        <fgColor rgb="FF568160"/>
        <bgColor indexed="64"/>
      </patternFill>
    </fill>
    <fill>
      <patternFill patternType="solid">
        <fgColor rgb="FF006819"/>
        <bgColor indexed="64"/>
      </patternFill>
    </fill>
    <fill>
      <patternFill patternType="solid">
        <fgColor rgb="FF45684E"/>
        <bgColor indexed="64"/>
      </patternFill>
    </fill>
    <fill>
      <patternFill patternType="solid">
        <fgColor rgb="FF004F13"/>
        <bgColor indexed="64"/>
      </patternFill>
    </fill>
    <fill>
      <patternFill patternType="solid">
        <fgColor rgb="FF354F3B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AAFFD4"/>
        <bgColor indexed="64"/>
      </patternFill>
    </fill>
    <fill>
      <patternFill patternType="solid">
        <fgColor rgb="FF00BD5E"/>
        <bgColor indexed="64"/>
      </patternFill>
    </fill>
    <fill>
      <patternFill patternType="solid">
        <fgColor rgb="FF7EBD9D"/>
        <bgColor indexed="64"/>
      </patternFill>
    </fill>
    <fill>
      <patternFill patternType="solid">
        <fgColor rgb="FF008140"/>
        <bgColor indexed="64"/>
      </patternFill>
    </fill>
    <fill>
      <patternFill patternType="solid">
        <fgColor rgb="FF56816B"/>
        <bgColor indexed="64"/>
      </patternFill>
    </fill>
    <fill>
      <patternFill patternType="solid">
        <fgColor rgb="FF006834"/>
        <bgColor indexed="64"/>
      </patternFill>
    </fill>
    <fill>
      <patternFill patternType="solid">
        <fgColor rgb="FF456856"/>
        <bgColor indexed="64"/>
      </patternFill>
    </fill>
    <fill>
      <patternFill patternType="solid">
        <fgColor rgb="FF004F27"/>
        <bgColor indexed="64"/>
      </patternFill>
    </fill>
    <fill>
      <patternFill patternType="solid">
        <fgColor rgb="FF354F42"/>
        <bgColor indexed="64"/>
      </patternFill>
    </fill>
    <fill>
      <patternFill patternType="solid">
        <fgColor rgb="FF00FFBF"/>
        <bgColor indexed="64"/>
      </patternFill>
    </fill>
    <fill>
      <patternFill patternType="solid">
        <fgColor rgb="FFAAFFEA"/>
        <bgColor indexed="64"/>
      </patternFill>
    </fill>
    <fill>
      <patternFill patternType="solid">
        <fgColor rgb="FF00BD8D"/>
        <bgColor indexed="64"/>
      </patternFill>
    </fill>
    <fill>
      <patternFill patternType="solid">
        <fgColor rgb="FF7EBDAD"/>
        <bgColor indexed="64"/>
      </patternFill>
    </fill>
    <fill>
      <patternFill patternType="solid">
        <fgColor rgb="FF008160"/>
        <bgColor indexed="64"/>
      </patternFill>
    </fill>
    <fill>
      <patternFill patternType="solid">
        <fgColor rgb="FF568176"/>
        <bgColor indexed="64"/>
      </patternFill>
    </fill>
    <fill>
      <patternFill patternType="solid">
        <fgColor rgb="FF00684E"/>
        <bgColor indexed="64"/>
      </patternFill>
    </fill>
    <fill>
      <patternFill patternType="solid">
        <fgColor rgb="FF45685F"/>
        <bgColor indexed="64"/>
      </patternFill>
    </fill>
    <fill>
      <patternFill patternType="solid">
        <fgColor rgb="FF004F3B"/>
        <bgColor indexed="64"/>
      </patternFill>
    </fill>
    <fill>
      <patternFill patternType="solid">
        <fgColor rgb="FF354F49"/>
        <bgColor indexed="64"/>
      </patternFill>
    </fill>
    <fill>
      <patternFill patternType="solid">
        <fgColor rgb="FFAAFFFF"/>
        <bgColor indexed="64"/>
      </patternFill>
    </fill>
    <fill>
      <patternFill patternType="solid">
        <fgColor rgb="FF00BDBD"/>
        <bgColor indexed="64"/>
      </patternFill>
    </fill>
    <fill>
      <patternFill patternType="solid">
        <fgColor rgb="FF7EBDBD"/>
        <bgColor indexed="64"/>
      </patternFill>
    </fill>
    <fill>
      <patternFill patternType="solid">
        <fgColor rgb="FF008181"/>
        <bgColor indexed="64"/>
      </patternFill>
    </fill>
    <fill>
      <patternFill patternType="solid">
        <fgColor rgb="FF568181"/>
        <bgColor indexed="64"/>
      </patternFill>
    </fill>
    <fill>
      <patternFill patternType="solid">
        <fgColor rgb="FF006868"/>
        <bgColor indexed="64"/>
      </patternFill>
    </fill>
    <fill>
      <patternFill patternType="solid">
        <fgColor rgb="FF456868"/>
        <bgColor indexed="64"/>
      </patternFill>
    </fill>
    <fill>
      <patternFill patternType="solid">
        <fgColor rgb="FF004F4F"/>
        <bgColor indexed="64"/>
      </patternFill>
    </fill>
    <fill>
      <patternFill patternType="solid">
        <fgColor rgb="FF354F4F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AAEAFF"/>
        <bgColor indexed="64"/>
      </patternFill>
    </fill>
    <fill>
      <patternFill patternType="solid">
        <fgColor rgb="FF008DBD"/>
        <bgColor indexed="64"/>
      </patternFill>
    </fill>
    <fill>
      <patternFill patternType="solid">
        <fgColor rgb="FF7EADBD"/>
        <bgColor indexed="64"/>
      </patternFill>
    </fill>
    <fill>
      <patternFill patternType="solid">
        <fgColor rgb="FF006081"/>
        <bgColor indexed="64"/>
      </patternFill>
    </fill>
    <fill>
      <patternFill patternType="solid">
        <fgColor rgb="FF567681"/>
        <bgColor indexed="64"/>
      </patternFill>
    </fill>
    <fill>
      <patternFill patternType="solid">
        <fgColor rgb="FF004E68"/>
        <bgColor indexed="64"/>
      </patternFill>
    </fill>
    <fill>
      <patternFill patternType="solid">
        <fgColor rgb="FF455F68"/>
        <bgColor indexed="64"/>
      </patternFill>
    </fill>
    <fill>
      <patternFill patternType="solid">
        <fgColor rgb="FF003B4F"/>
        <bgColor indexed="64"/>
      </patternFill>
    </fill>
    <fill>
      <patternFill patternType="solid">
        <fgColor rgb="FF35494F"/>
        <bgColor indexed="64"/>
      </patternFill>
    </fill>
    <fill>
      <patternFill patternType="solid">
        <fgColor rgb="FF007FFF"/>
        <bgColor indexed="64"/>
      </patternFill>
    </fill>
    <fill>
      <patternFill patternType="solid">
        <fgColor rgb="FFAAD4FF"/>
        <bgColor indexed="64"/>
      </patternFill>
    </fill>
    <fill>
      <patternFill patternType="solid">
        <fgColor rgb="FF005EBD"/>
        <bgColor indexed="64"/>
      </patternFill>
    </fill>
    <fill>
      <patternFill patternType="solid">
        <fgColor rgb="FF7E9DBD"/>
        <bgColor indexed="64"/>
      </patternFill>
    </fill>
    <fill>
      <patternFill patternType="solid">
        <fgColor rgb="FF004081"/>
        <bgColor indexed="64"/>
      </patternFill>
    </fill>
    <fill>
      <patternFill patternType="solid">
        <fgColor rgb="FF566B81"/>
        <bgColor indexed="64"/>
      </patternFill>
    </fill>
    <fill>
      <patternFill patternType="solid">
        <fgColor rgb="FF003468"/>
        <bgColor indexed="64"/>
      </patternFill>
    </fill>
    <fill>
      <patternFill patternType="solid">
        <fgColor rgb="FF455668"/>
        <bgColor indexed="64"/>
      </patternFill>
    </fill>
    <fill>
      <patternFill patternType="solid">
        <fgColor rgb="FF00274F"/>
        <bgColor indexed="64"/>
      </patternFill>
    </fill>
    <fill>
      <patternFill patternType="solid">
        <fgColor rgb="FF35424F"/>
        <bgColor indexed="64"/>
      </patternFill>
    </fill>
    <fill>
      <patternFill patternType="solid">
        <fgColor rgb="FF003FFF"/>
        <bgColor indexed="64"/>
      </patternFill>
    </fill>
    <fill>
      <patternFill patternType="solid">
        <fgColor rgb="FFAABFFF"/>
        <bgColor indexed="64"/>
      </patternFill>
    </fill>
    <fill>
      <patternFill patternType="solid">
        <fgColor rgb="FF002EBD"/>
        <bgColor indexed="64"/>
      </patternFill>
    </fill>
    <fill>
      <patternFill patternType="solid">
        <fgColor rgb="FF7E8DBD"/>
        <bgColor indexed="64"/>
      </patternFill>
    </fill>
    <fill>
      <patternFill patternType="solid">
        <fgColor rgb="FF001F81"/>
        <bgColor indexed="64"/>
      </patternFill>
    </fill>
    <fill>
      <patternFill patternType="solid">
        <fgColor rgb="FF566081"/>
        <bgColor indexed="64"/>
      </patternFill>
    </fill>
    <fill>
      <patternFill patternType="solid">
        <fgColor rgb="FF001968"/>
        <bgColor indexed="64"/>
      </patternFill>
    </fill>
    <fill>
      <patternFill patternType="solid">
        <fgColor rgb="FF454E68"/>
        <bgColor indexed="64"/>
      </patternFill>
    </fill>
    <fill>
      <patternFill patternType="solid">
        <fgColor rgb="FF00134F"/>
        <bgColor indexed="64"/>
      </patternFill>
    </fill>
    <fill>
      <patternFill patternType="solid">
        <fgColor rgb="FF353B4F"/>
        <bgColor indexed="64"/>
      </patternFill>
    </fill>
    <fill>
      <patternFill patternType="solid">
        <fgColor rgb="FFAAAAFF"/>
        <bgColor indexed="64"/>
      </patternFill>
    </fill>
    <fill>
      <patternFill patternType="solid">
        <fgColor rgb="FF0000BD"/>
        <bgColor indexed="64"/>
      </patternFill>
    </fill>
    <fill>
      <patternFill patternType="solid">
        <fgColor rgb="FF7E7EBD"/>
        <bgColor indexed="64"/>
      </patternFill>
    </fill>
    <fill>
      <patternFill patternType="solid">
        <fgColor rgb="FF000081"/>
        <bgColor indexed="64"/>
      </patternFill>
    </fill>
    <fill>
      <patternFill patternType="solid">
        <fgColor rgb="FF565681"/>
        <bgColor indexed="64"/>
      </patternFill>
    </fill>
    <fill>
      <patternFill patternType="solid">
        <fgColor rgb="FF000068"/>
        <bgColor indexed="64"/>
      </patternFill>
    </fill>
    <fill>
      <patternFill patternType="solid">
        <fgColor rgb="FF454568"/>
        <bgColor indexed="64"/>
      </patternFill>
    </fill>
    <fill>
      <patternFill patternType="solid">
        <fgColor rgb="FF00004F"/>
        <bgColor indexed="64"/>
      </patternFill>
    </fill>
    <fill>
      <patternFill patternType="solid">
        <fgColor rgb="FF35354F"/>
        <bgColor indexed="64"/>
      </patternFill>
    </fill>
    <fill>
      <patternFill patternType="solid">
        <fgColor rgb="FF3F00FF"/>
        <bgColor indexed="64"/>
      </patternFill>
    </fill>
    <fill>
      <patternFill patternType="solid">
        <fgColor rgb="FFBFAAFF"/>
        <bgColor indexed="64"/>
      </patternFill>
    </fill>
    <fill>
      <patternFill patternType="solid">
        <fgColor rgb="FF2E00BD"/>
        <bgColor indexed="64"/>
      </patternFill>
    </fill>
    <fill>
      <patternFill patternType="solid">
        <fgColor rgb="FF8D7EBD"/>
        <bgColor indexed="64"/>
      </patternFill>
    </fill>
    <fill>
      <patternFill patternType="solid">
        <fgColor rgb="FF1F0081"/>
        <bgColor indexed="64"/>
      </patternFill>
    </fill>
    <fill>
      <patternFill patternType="solid">
        <fgColor rgb="FF605681"/>
        <bgColor indexed="64"/>
      </patternFill>
    </fill>
    <fill>
      <patternFill patternType="solid">
        <fgColor rgb="FF190068"/>
        <bgColor indexed="64"/>
      </patternFill>
    </fill>
    <fill>
      <patternFill patternType="solid">
        <fgColor rgb="FF4E4568"/>
        <bgColor indexed="64"/>
      </patternFill>
    </fill>
    <fill>
      <patternFill patternType="solid">
        <fgColor rgb="FF13004F"/>
        <bgColor indexed="64"/>
      </patternFill>
    </fill>
    <fill>
      <patternFill patternType="solid">
        <fgColor rgb="FF3B354F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D4AAFF"/>
        <bgColor indexed="64"/>
      </patternFill>
    </fill>
    <fill>
      <patternFill patternType="solid">
        <fgColor rgb="FF5E00BD"/>
        <bgColor indexed="64"/>
      </patternFill>
    </fill>
    <fill>
      <patternFill patternType="solid">
        <fgColor rgb="FF9D7EBD"/>
        <bgColor indexed="64"/>
      </patternFill>
    </fill>
    <fill>
      <patternFill patternType="solid">
        <fgColor rgb="FF400081"/>
        <bgColor indexed="64"/>
      </patternFill>
    </fill>
    <fill>
      <patternFill patternType="solid">
        <fgColor rgb="FF6B5681"/>
        <bgColor indexed="64"/>
      </patternFill>
    </fill>
    <fill>
      <patternFill patternType="solid">
        <fgColor rgb="FF340068"/>
        <bgColor indexed="64"/>
      </patternFill>
    </fill>
    <fill>
      <patternFill patternType="solid">
        <fgColor rgb="FF564568"/>
        <bgColor indexed="64"/>
      </patternFill>
    </fill>
    <fill>
      <patternFill patternType="solid">
        <fgColor rgb="FF27004F"/>
        <bgColor indexed="64"/>
      </patternFill>
    </fill>
    <fill>
      <patternFill patternType="solid">
        <fgColor rgb="FF42354F"/>
        <bgColor indexed="64"/>
      </patternFill>
    </fill>
    <fill>
      <patternFill patternType="solid">
        <fgColor rgb="FFBF00FF"/>
        <bgColor indexed="64"/>
      </patternFill>
    </fill>
    <fill>
      <patternFill patternType="solid">
        <fgColor rgb="FFEEAAFF"/>
        <bgColor indexed="64"/>
      </patternFill>
    </fill>
    <fill>
      <patternFill patternType="solid">
        <fgColor rgb="FF8D00BD"/>
        <bgColor indexed="64"/>
      </patternFill>
    </fill>
    <fill>
      <patternFill patternType="solid">
        <fgColor rgb="FFAD7EBD"/>
        <bgColor indexed="64"/>
      </patternFill>
    </fill>
    <fill>
      <patternFill patternType="solid">
        <fgColor rgb="FF600081"/>
        <bgColor indexed="64"/>
      </patternFill>
    </fill>
    <fill>
      <patternFill patternType="solid">
        <fgColor rgb="FF765681"/>
        <bgColor indexed="64"/>
      </patternFill>
    </fill>
    <fill>
      <patternFill patternType="solid">
        <fgColor rgb="FF4E0068"/>
        <bgColor indexed="64"/>
      </patternFill>
    </fill>
    <fill>
      <patternFill patternType="solid">
        <fgColor rgb="FF5F4568"/>
        <bgColor indexed="64"/>
      </patternFill>
    </fill>
    <fill>
      <patternFill patternType="solid">
        <fgColor rgb="FF3B004F"/>
        <bgColor indexed="64"/>
      </patternFill>
    </fill>
    <fill>
      <patternFill patternType="solid">
        <fgColor rgb="FF49354F"/>
        <bgColor indexed="64"/>
      </patternFill>
    </fill>
    <fill>
      <patternFill patternType="solid">
        <fgColor rgb="FFFFAAFF"/>
        <bgColor indexed="64"/>
      </patternFill>
    </fill>
    <fill>
      <patternFill patternType="solid">
        <fgColor rgb="FFBD00BD"/>
        <bgColor indexed="64"/>
      </patternFill>
    </fill>
    <fill>
      <patternFill patternType="solid">
        <fgColor rgb="FFBD7EBD"/>
        <bgColor indexed="64"/>
      </patternFill>
    </fill>
    <fill>
      <patternFill patternType="solid">
        <fgColor rgb="FF810081"/>
        <bgColor indexed="64"/>
      </patternFill>
    </fill>
    <fill>
      <patternFill patternType="solid">
        <fgColor rgb="FF815681"/>
        <bgColor indexed="64"/>
      </patternFill>
    </fill>
    <fill>
      <patternFill patternType="solid">
        <fgColor rgb="FF680068"/>
        <bgColor indexed="64"/>
      </patternFill>
    </fill>
    <fill>
      <patternFill patternType="solid">
        <fgColor rgb="FF684568"/>
        <bgColor indexed="64"/>
      </patternFill>
    </fill>
    <fill>
      <patternFill patternType="solid">
        <fgColor rgb="FF4F004F"/>
        <bgColor indexed="64"/>
      </patternFill>
    </fill>
    <fill>
      <patternFill patternType="solid">
        <fgColor rgb="FFFF00BF"/>
        <bgColor indexed="64"/>
      </patternFill>
    </fill>
    <fill>
      <patternFill patternType="solid">
        <fgColor rgb="FFFFAAEA"/>
        <bgColor indexed="64"/>
      </patternFill>
    </fill>
    <fill>
      <patternFill patternType="solid">
        <fgColor rgb="FFBD008D"/>
        <bgColor indexed="64"/>
      </patternFill>
    </fill>
    <fill>
      <patternFill patternType="solid">
        <fgColor rgb="FFBD7EAD"/>
        <bgColor indexed="64"/>
      </patternFill>
    </fill>
    <fill>
      <patternFill patternType="solid">
        <fgColor rgb="FF810060"/>
        <bgColor indexed="64"/>
      </patternFill>
    </fill>
    <fill>
      <patternFill patternType="solid">
        <fgColor rgb="FF815676"/>
        <bgColor indexed="64"/>
      </patternFill>
    </fill>
    <fill>
      <patternFill patternType="solid">
        <fgColor rgb="FF68004E"/>
        <bgColor indexed="64"/>
      </patternFill>
    </fill>
    <fill>
      <patternFill patternType="solid">
        <fgColor rgb="FF68455F"/>
        <bgColor indexed="64"/>
      </patternFill>
    </fill>
    <fill>
      <patternFill patternType="solid">
        <fgColor rgb="FF4F003B"/>
        <bgColor indexed="64"/>
      </patternFill>
    </fill>
    <fill>
      <patternFill patternType="solid">
        <fgColor rgb="FF4F3549"/>
        <bgColor indexed="64"/>
      </patternFill>
    </fill>
    <fill>
      <patternFill patternType="solid">
        <fgColor rgb="FFFF007F"/>
        <bgColor indexed="64"/>
      </patternFill>
    </fill>
    <fill>
      <patternFill patternType="solid">
        <fgColor rgb="FFFFAAD4"/>
        <bgColor indexed="64"/>
      </patternFill>
    </fill>
    <fill>
      <patternFill patternType="solid">
        <fgColor rgb="FFBD005E"/>
        <bgColor indexed="64"/>
      </patternFill>
    </fill>
    <fill>
      <patternFill patternType="solid">
        <fgColor rgb="FFBD7E9D"/>
        <bgColor indexed="64"/>
      </patternFill>
    </fill>
    <fill>
      <patternFill patternType="solid">
        <fgColor rgb="FF810040"/>
        <bgColor indexed="64"/>
      </patternFill>
    </fill>
    <fill>
      <patternFill patternType="solid">
        <fgColor rgb="FF81566B"/>
        <bgColor indexed="64"/>
      </patternFill>
    </fill>
    <fill>
      <patternFill patternType="solid">
        <fgColor rgb="FF680034"/>
        <bgColor indexed="64"/>
      </patternFill>
    </fill>
    <fill>
      <patternFill patternType="solid">
        <fgColor rgb="FF684556"/>
        <bgColor indexed="64"/>
      </patternFill>
    </fill>
    <fill>
      <patternFill patternType="solid">
        <fgColor rgb="FF4F0027"/>
        <bgColor indexed="64"/>
      </patternFill>
    </fill>
    <fill>
      <patternFill patternType="solid">
        <fgColor rgb="FF4F3542"/>
        <bgColor indexed="64"/>
      </patternFill>
    </fill>
    <fill>
      <patternFill patternType="solid">
        <fgColor rgb="FFFF003F"/>
        <bgColor indexed="64"/>
      </patternFill>
    </fill>
    <fill>
      <patternFill patternType="solid">
        <fgColor rgb="FFFFAABF"/>
        <bgColor indexed="64"/>
      </patternFill>
    </fill>
    <fill>
      <patternFill patternType="solid">
        <fgColor rgb="FFBD002E"/>
        <bgColor indexed="64"/>
      </patternFill>
    </fill>
    <fill>
      <patternFill patternType="solid">
        <fgColor rgb="FFBD7E8D"/>
        <bgColor indexed="64"/>
      </patternFill>
    </fill>
    <fill>
      <patternFill patternType="solid">
        <fgColor rgb="FF81001F"/>
        <bgColor indexed="64"/>
      </patternFill>
    </fill>
    <fill>
      <patternFill patternType="solid">
        <fgColor rgb="FF815660"/>
        <bgColor indexed="64"/>
      </patternFill>
    </fill>
    <fill>
      <patternFill patternType="solid">
        <fgColor rgb="FF680019"/>
        <bgColor indexed="64"/>
      </patternFill>
    </fill>
    <fill>
      <patternFill patternType="solid">
        <fgColor rgb="FF68454E"/>
        <bgColor indexed="64"/>
      </patternFill>
    </fill>
    <fill>
      <patternFill patternType="solid">
        <fgColor rgb="FF4F0013"/>
        <bgColor indexed="64"/>
      </patternFill>
    </fill>
    <fill>
      <patternFill patternType="solid">
        <fgColor rgb="FF4F353B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DC3939"/>
        <bgColor indexed="64"/>
      </patternFill>
    </fill>
    <fill>
      <patternFill patternType="solid">
        <fgColor rgb="FF63A4F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3DBFF"/>
        <bgColor indexed="64"/>
      </patternFill>
    </fill>
    <fill>
      <patternFill patternType="solid">
        <fgColor rgb="FF227ACB"/>
        <bgColor indexed="64"/>
      </patternFill>
    </fill>
    <fill>
      <patternFill patternType="solid">
        <fgColor rgb="FFC189F7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theme="0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2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center" vertical="center" wrapText="1"/>
    </xf>
    <xf numFmtId="0" fontId="2" fillId="16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wrapText="1"/>
    </xf>
    <xf numFmtId="0" fontId="3" fillId="19" borderId="1" xfId="0" applyFont="1" applyFill="1" applyBorder="1" applyAlignment="1">
      <alignment horizontal="center" vertical="center" wrapText="1"/>
    </xf>
    <xf numFmtId="0" fontId="3" fillId="20" borderId="1" xfId="0" applyFont="1" applyFill="1" applyBorder="1" applyAlignment="1">
      <alignment horizontal="center" vertical="center" wrapText="1"/>
    </xf>
    <xf numFmtId="0" fontId="2" fillId="21" borderId="1" xfId="0" applyFont="1" applyFill="1" applyBorder="1" applyAlignment="1">
      <alignment horizontal="center" vertical="center" wrapText="1"/>
    </xf>
    <xf numFmtId="0" fontId="2" fillId="22" borderId="1" xfId="0" applyFont="1" applyFill="1" applyBorder="1" applyAlignment="1">
      <alignment horizontal="center" vertical="center" wrapText="1"/>
    </xf>
    <xf numFmtId="0" fontId="2" fillId="23" borderId="1" xfId="0" applyFont="1" applyFill="1" applyBorder="1" applyAlignment="1">
      <alignment horizontal="center" vertical="center" wrapText="1"/>
    </xf>
    <xf numFmtId="0" fontId="2" fillId="24" borderId="1" xfId="0" applyFont="1" applyFill="1" applyBorder="1" applyAlignment="1">
      <alignment horizontal="center" vertical="center" wrapText="1"/>
    </xf>
    <xf numFmtId="0" fontId="2" fillId="25" borderId="1" xfId="0" applyFont="1" applyFill="1" applyBorder="1" applyAlignment="1">
      <alignment horizontal="center" vertical="center" wrapText="1"/>
    </xf>
    <xf numFmtId="0" fontId="2" fillId="26" borderId="1" xfId="0" applyFont="1" applyFill="1" applyBorder="1" applyAlignment="1">
      <alignment horizontal="center" vertical="center" wrapText="1"/>
    </xf>
    <xf numFmtId="0" fontId="3" fillId="27" borderId="1" xfId="0" applyFont="1" applyFill="1" applyBorder="1" applyAlignment="1">
      <alignment horizontal="center" vertical="center" wrapText="1"/>
    </xf>
    <xf numFmtId="0" fontId="3" fillId="28" borderId="1" xfId="0" applyFont="1" applyFill="1" applyBorder="1" applyAlignment="1">
      <alignment horizontal="center" vertical="center" wrapText="1"/>
    </xf>
    <xf numFmtId="0" fontId="3" fillId="29" borderId="1" xfId="0" applyFont="1" applyFill="1" applyBorder="1" applyAlignment="1">
      <alignment horizontal="center" vertical="center" wrapText="1"/>
    </xf>
    <xf numFmtId="0" fontId="3" fillId="30" borderId="1" xfId="0" applyFont="1" applyFill="1" applyBorder="1" applyAlignment="1">
      <alignment horizontal="center" vertical="center" wrapText="1"/>
    </xf>
    <xf numFmtId="0" fontId="2" fillId="31" borderId="1" xfId="0" applyFont="1" applyFill="1" applyBorder="1" applyAlignment="1">
      <alignment horizontal="center" vertical="center" wrapText="1"/>
    </xf>
    <xf numFmtId="0" fontId="2" fillId="32" borderId="1" xfId="0" applyFont="1" applyFill="1" applyBorder="1" applyAlignment="1">
      <alignment horizontal="center" vertical="center" wrapText="1"/>
    </xf>
    <xf numFmtId="0" fontId="2" fillId="33" borderId="1" xfId="0" applyFont="1" applyFill="1" applyBorder="1" applyAlignment="1">
      <alignment horizontal="center" vertical="center" wrapText="1"/>
    </xf>
    <xf numFmtId="0" fontId="2" fillId="34" borderId="1" xfId="0" applyFont="1" applyFill="1" applyBorder="1" applyAlignment="1">
      <alignment horizontal="center" vertical="center" wrapText="1"/>
    </xf>
    <xf numFmtId="0" fontId="2" fillId="35" borderId="1" xfId="0" applyFont="1" applyFill="1" applyBorder="1" applyAlignment="1">
      <alignment horizontal="center" vertical="center" wrapText="1"/>
    </xf>
    <xf numFmtId="0" fontId="2" fillId="36" borderId="1" xfId="0" applyFont="1" applyFill="1" applyBorder="1" applyAlignment="1">
      <alignment horizontal="center" vertical="center" wrapText="1"/>
    </xf>
    <xf numFmtId="0" fontId="3" fillId="37" borderId="1" xfId="0" applyFont="1" applyFill="1" applyBorder="1" applyAlignment="1">
      <alignment horizontal="center" vertical="center" wrapText="1"/>
    </xf>
    <xf numFmtId="0" fontId="3" fillId="38" borderId="1" xfId="0" applyFont="1" applyFill="1" applyBorder="1" applyAlignment="1">
      <alignment horizontal="center" vertical="center" wrapText="1"/>
    </xf>
    <xf numFmtId="0" fontId="3" fillId="39" borderId="1" xfId="0" applyFont="1" applyFill="1" applyBorder="1" applyAlignment="1">
      <alignment horizontal="center" vertical="center" wrapText="1"/>
    </xf>
    <xf numFmtId="0" fontId="3" fillId="40" borderId="1" xfId="0" applyFont="1" applyFill="1" applyBorder="1" applyAlignment="1">
      <alignment horizontal="center" vertical="center" wrapText="1"/>
    </xf>
    <xf numFmtId="0" fontId="2" fillId="41" borderId="1" xfId="0" applyFont="1" applyFill="1" applyBorder="1" applyAlignment="1">
      <alignment horizontal="center" vertical="center" wrapText="1"/>
    </xf>
    <xf numFmtId="0" fontId="2" fillId="42" borderId="1" xfId="0" applyFont="1" applyFill="1" applyBorder="1" applyAlignment="1">
      <alignment horizontal="center" vertical="center" wrapText="1"/>
    </xf>
    <xf numFmtId="0" fontId="2" fillId="43" borderId="1" xfId="0" applyFont="1" applyFill="1" applyBorder="1" applyAlignment="1">
      <alignment horizontal="center" vertical="center" wrapText="1"/>
    </xf>
    <xf numFmtId="0" fontId="2" fillId="44" borderId="1" xfId="0" applyFont="1" applyFill="1" applyBorder="1" applyAlignment="1">
      <alignment horizontal="center" vertical="center" wrapText="1"/>
    </xf>
    <xf numFmtId="0" fontId="2" fillId="45" borderId="1" xfId="0" applyFont="1" applyFill="1" applyBorder="1" applyAlignment="1">
      <alignment horizontal="center" vertical="center" wrapText="1"/>
    </xf>
    <xf numFmtId="0" fontId="2" fillId="46" borderId="1" xfId="0" applyFont="1" applyFill="1" applyBorder="1" applyAlignment="1">
      <alignment horizontal="center" vertical="center" wrapText="1"/>
    </xf>
    <xf numFmtId="0" fontId="3" fillId="47" borderId="1" xfId="0" applyFont="1" applyFill="1" applyBorder="1" applyAlignment="1">
      <alignment horizontal="center" vertical="center" wrapText="1"/>
    </xf>
    <xf numFmtId="0" fontId="3" fillId="48" borderId="1" xfId="0" applyFont="1" applyFill="1" applyBorder="1" applyAlignment="1">
      <alignment horizontal="center" vertical="center" wrapText="1"/>
    </xf>
    <xf numFmtId="0" fontId="3" fillId="49" borderId="1" xfId="0" applyFont="1" applyFill="1" applyBorder="1" applyAlignment="1">
      <alignment horizontal="center" vertical="center" wrapText="1"/>
    </xf>
    <xf numFmtId="0" fontId="3" fillId="50" borderId="1" xfId="0" applyFont="1" applyFill="1" applyBorder="1" applyAlignment="1">
      <alignment horizontal="center" vertical="center" wrapText="1"/>
    </xf>
    <xf numFmtId="0" fontId="2" fillId="51" borderId="1" xfId="0" applyFont="1" applyFill="1" applyBorder="1" applyAlignment="1">
      <alignment horizontal="center" vertical="center" wrapText="1"/>
    </xf>
    <xf numFmtId="0" fontId="2" fillId="52" borderId="1" xfId="0" applyFont="1" applyFill="1" applyBorder="1" applyAlignment="1">
      <alignment horizontal="center" vertical="center" wrapText="1"/>
    </xf>
    <xf numFmtId="0" fontId="2" fillId="53" borderId="1" xfId="0" applyFont="1" applyFill="1" applyBorder="1" applyAlignment="1">
      <alignment horizontal="center" vertical="center" wrapText="1"/>
    </xf>
    <xf numFmtId="0" fontId="2" fillId="54" borderId="1" xfId="0" applyFont="1" applyFill="1" applyBorder="1" applyAlignment="1">
      <alignment horizontal="center" vertical="center" wrapText="1"/>
    </xf>
    <xf numFmtId="0" fontId="2" fillId="55" borderId="1" xfId="0" applyFont="1" applyFill="1" applyBorder="1" applyAlignment="1">
      <alignment horizontal="center" vertical="center" wrapText="1"/>
    </xf>
    <xf numFmtId="0" fontId="3" fillId="56" borderId="1" xfId="0" applyFont="1" applyFill="1" applyBorder="1" applyAlignment="1">
      <alignment horizontal="center" vertical="center" wrapText="1"/>
    </xf>
    <xf numFmtId="0" fontId="3" fillId="57" borderId="1" xfId="0" applyFont="1" applyFill="1" applyBorder="1" applyAlignment="1">
      <alignment horizontal="center" vertical="center" wrapText="1"/>
    </xf>
    <xf numFmtId="0" fontId="3" fillId="58" borderId="1" xfId="0" applyFont="1" applyFill="1" applyBorder="1" applyAlignment="1">
      <alignment horizontal="center" vertical="center" wrapText="1"/>
    </xf>
    <xf numFmtId="0" fontId="3" fillId="59" borderId="1" xfId="0" applyFont="1" applyFill="1" applyBorder="1" applyAlignment="1">
      <alignment horizontal="center" vertical="center" wrapText="1"/>
    </xf>
    <xf numFmtId="0" fontId="2" fillId="60" borderId="1" xfId="0" applyFont="1" applyFill="1" applyBorder="1" applyAlignment="1">
      <alignment horizontal="center" vertical="center" wrapText="1"/>
    </xf>
    <xf numFmtId="0" fontId="2" fillId="61" borderId="1" xfId="0" applyFont="1" applyFill="1" applyBorder="1" applyAlignment="1">
      <alignment horizontal="center" vertical="center" wrapText="1"/>
    </xf>
    <xf numFmtId="0" fontId="2" fillId="62" borderId="1" xfId="0" applyFont="1" applyFill="1" applyBorder="1" applyAlignment="1">
      <alignment horizontal="center" vertical="center" wrapText="1"/>
    </xf>
    <xf numFmtId="0" fontId="2" fillId="63" borderId="1" xfId="0" applyFont="1" applyFill="1" applyBorder="1" applyAlignment="1">
      <alignment horizontal="center" vertical="center" wrapText="1"/>
    </xf>
    <xf numFmtId="0" fontId="2" fillId="64" borderId="1" xfId="0" applyFont="1" applyFill="1" applyBorder="1" applyAlignment="1">
      <alignment horizontal="center" vertical="center" wrapText="1"/>
    </xf>
    <xf numFmtId="0" fontId="2" fillId="65" borderId="1" xfId="0" applyFont="1" applyFill="1" applyBorder="1" applyAlignment="1">
      <alignment horizontal="center" vertical="center" wrapText="1"/>
    </xf>
    <xf numFmtId="0" fontId="3" fillId="66" borderId="1" xfId="0" applyFont="1" applyFill="1" applyBorder="1" applyAlignment="1">
      <alignment horizontal="center" vertical="center" wrapText="1"/>
    </xf>
    <xf numFmtId="0" fontId="3" fillId="67" borderId="1" xfId="0" applyFont="1" applyFill="1" applyBorder="1" applyAlignment="1">
      <alignment horizontal="center" vertical="center" wrapText="1"/>
    </xf>
    <xf numFmtId="0" fontId="3" fillId="68" borderId="1" xfId="0" applyFont="1" applyFill="1" applyBorder="1" applyAlignment="1">
      <alignment horizontal="center" vertical="center" wrapText="1"/>
    </xf>
    <xf numFmtId="0" fontId="3" fillId="69" borderId="1" xfId="0" applyFont="1" applyFill="1" applyBorder="1" applyAlignment="1">
      <alignment horizontal="center" vertical="center" wrapText="1"/>
    </xf>
    <xf numFmtId="0" fontId="2" fillId="70" borderId="1" xfId="0" applyFont="1" applyFill="1" applyBorder="1" applyAlignment="1">
      <alignment horizontal="center" vertical="center" wrapText="1"/>
    </xf>
    <xf numFmtId="0" fontId="2" fillId="71" borderId="1" xfId="0" applyFont="1" applyFill="1" applyBorder="1" applyAlignment="1">
      <alignment horizontal="center" vertical="center" wrapText="1"/>
    </xf>
    <xf numFmtId="0" fontId="2" fillId="72" borderId="1" xfId="0" applyFont="1" applyFill="1" applyBorder="1" applyAlignment="1">
      <alignment horizontal="center" vertical="center" wrapText="1"/>
    </xf>
    <xf numFmtId="0" fontId="2" fillId="73" borderId="1" xfId="0" applyFont="1" applyFill="1" applyBorder="1" applyAlignment="1">
      <alignment horizontal="center" vertical="center" wrapText="1"/>
    </xf>
    <xf numFmtId="0" fontId="2" fillId="74" borderId="1" xfId="0" applyFont="1" applyFill="1" applyBorder="1" applyAlignment="1">
      <alignment horizontal="center" vertical="center" wrapText="1"/>
    </xf>
    <xf numFmtId="0" fontId="2" fillId="75" borderId="1" xfId="0" applyFont="1" applyFill="1" applyBorder="1" applyAlignment="1">
      <alignment horizontal="center" vertical="center" wrapText="1"/>
    </xf>
    <xf numFmtId="0" fontId="3" fillId="76" borderId="1" xfId="0" applyFont="1" applyFill="1" applyBorder="1" applyAlignment="1">
      <alignment horizontal="center" vertical="center" wrapText="1"/>
    </xf>
    <xf numFmtId="0" fontId="3" fillId="77" borderId="1" xfId="0" applyFont="1" applyFill="1" applyBorder="1" applyAlignment="1">
      <alignment horizontal="center" vertical="center" wrapText="1"/>
    </xf>
    <xf numFmtId="0" fontId="3" fillId="78" borderId="1" xfId="0" applyFont="1" applyFill="1" applyBorder="1" applyAlignment="1">
      <alignment horizontal="center" vertical="center" wrapText="1"/>
    </xf>
    <xf numFmtId="0" fontId="3" fillId="79" borderId="1" xfId="0" applyFont="1" applyFill="1" applyBorder="1" applyAlignment="1">
      <alignment horizontal="center" vertical="center" wrapText="1"/>
    </xf>
    <xf numFmtId="0" fontId="2" fillId="80" borderId="1" xfId="0" applyFont="1" applyFill="1" applyBorder="1" applyAlignment="1">
      <alignment horizontal="center" vertical="center" wrapText="1"/>
    </xf>
    <xf numFmtId="0" fontId="2" fillId="81" borderId="1" xfId="0" applyFont="1" applyFill="1" applyBorder="1" applyAlignment="1">
      <alignment horizontal="center" vertical="center" wrapText="1"/>
    </xf>
    <xf numFmtId="0" fontId="2" fillId="82" borderId="1" xfId="0" applyFont="1" applyFill="1" applyBorder="1" applyAlignment="1">
      <alignment horizontal="center" vertical="center" wrapText="1"/>
    </xf>
    <xf numFmtId="0" fontId="2" fillId="83" borderId="1" xfId="0" applyFont="1" applyFill="1" applyBorder="1" applyAlignment="1">
      <alignment horizontal="center" vertical="center" wrapText="1"/>
    </xf>
    <xf numFmtId="0" fontId="2" fillId="84" borderId="1" xfId="0" applyFont="1" applyFill="1" applyBorder="1" applyAlignment="1">
      <alignment horizontal="center" vertical="center" wrapText="1"/>
    </xf>
    <xf numFmtId="0" fontId="2" fillId="85" borderId="1" xfId="0" applyFont="1" applyFill="1" applyBorder="1" applyAlignment="1">
      <alignment horizontal="center" vertical="center" wrapText="1"/>
    </xf>
    <xf numFmtId="0" fontId="3" fillId="86" borderId="1" xfId="0" applyFont="1" applyFill="1" applyBorder="1" applyAlignment="1">
      <alignment horizontal="center" vertical="center" wrapText="1"/>
    </xf>
    <xf numFmtId="0" fontId="3" fillId="87" borderId="1" xfId="0" applyFont="1" applyFill="1" applyBorder="1" applyAlignment="1">
      <alignment horizontal="center" vertical="center" wrapText="1"/>
    </xf>
    <xf numFmtId="0" fontId="3" fillId="88" borderId="1" xfId="0" applyFont="1" applyFill="1" applyBorder="1" applyAlignment="1">
      <alignment horizontal="center" vertical="center" wrapText="1"/>
    </xf>
    <xf numFmtId="0" fontId="3" fillId="89" borderId="1" xfId="0" applyFont="1" applyFill="1" applyBorder="1" applyAlignment="1">
      <alignment horizontal="center" vertical="center" wrapText="1"/>
    </xf>
    <xf numFmtId="0" fontId="2" fillId="90" borderId="1" xfId="0" applyFont="1" applyFill="1" applyBorder="1" applyAlignment="1">
      <alignment horizontal="center" vertical="center" wrapText="1"/>
    </xf>
    <xf numFmtId="0" fontId="2" fillId="91" borderId="1" xfId="0" applyFont="1" applyFill="1" applyBorder="1" applyAlignment="1">
      <alignment horizontal="center" vertical="center" wrapText="1"/>
    </xf>
    <xf numFmtId="0" fontId="2" fillId="92" borderId="1" xfId="0" applyFont="1" applyFill="1" applyBorder="1" applyAlignment="1">
      <alignment horizontal="center" vertical="center" wrapText="1"/>
    </xf>
    <xf numFmtId="0" fontId="2" fillId="93" borderId="1" xfId="0" applyFont="1" applyFill="1" applyBorder="1" applyAlignment="1">
      <alignment horizontal="center" vertical="center" wrapText="1"/>
    </xf>
    <xf numFmtId="0" fontId="2" fillId="94" borderId="1" xfId="0" applyFont="1" applyFill="1" applyBorder="1" applyAlignment="1">
      <alignment horizontal="center" vertical="center" wrapText="1"/>
    </xf>
    <xf numFmtId="0" fontId="3" fillId="95" borderId="1" xfId="0" applyFont="1" applyFill="1" applyBorder="1" applyAlignment="1">
      <alignment horizontal="center" vertical="center" wrapText="1"/>
    </xf>
    <xf numFmtId="0" fontId="3" fillId="96" borderId="1" xfId="0" applyFont="1" applyFill="1" applyBorder="1" applyAlignment="1">
      <alignment horizontal="center" vertical="center" wrapText="1"/>
    </xf>
    <xf numFmtId="0" fontId="3" fillId="97" borderId="1" xfId="0" applyFont="1" applyFill="1" applyBorder="1" applyAlignment="1">
      <alignment horizontal="center" vertical="center" wrapText="1"/>
    </xf>
    <xf numFmtId="0" fontId="3" fillId="98" borderId="1" xfId="0" applyFont="1" applyFill="1" applyBorder="1" applyAlignment="1">
      <alignment horizontal="center" vertical="center" wrapText="1"/>
    </xf>
    <xf numFmtId="0" fontId="2" fillId="99" borderId="1" xfId="0" applyFont="1" applyFill="1" applyBorder="1" applyAlignment="1">
      <alignment horizontal="center" vertical="center" wrapText="1"/>
    </xf>
    <xf numFmtId="0" fontId="2" fillId="100" borderId="1" xfId="0" applyFont="1" applyFill="1" applyBorder="1" applyAlignment="1">
      <alignment horizontal="center" vertical="center" wrapText="1"/>
    </xf>
    <xf numFmtId="0" fontId="2" fillId="101" borderId="1" xfId="0" applyFont="1" applyFill="1" applyBorder="1" applyAlignment="1">
      <alignment horizontal="center" vertical="center" wrapText="1"/>
    </xf>
    <xf numFmtId="0" fontId="2" fillId="102" borderId="1" xfId="0" applyFont="1" applyFill="1" applyBorder="1" applyAlignment="1">
      <alignment horizontal="center" vertical="center" wrapText="1"/>
    </xf>
    <xf numFmtId="0" fontId="2" fillId="103" borderId="1" xfId="0" applyFont="1" applyFill="1" applyBorder="1" applyAlignment="1">
      <alignment horizontal="center" vertical="center" wrapText="1"/>
    </xf>
    <xf numFmtId="0" fontId="2" fillId="104" borderId="1" xfId="0" applyFont="1" applyFill="1" applyBorder="1" applyAlignment="1">
      <alignment horizontal="center" vertical="center" wrapText="1"/>
    </xf>
    <xf numFmtId="0" fontId="3" fillId="105" borderId="1" xfId="0" applyFont="1" applyFill="1" applyBorder="1" applyAlignment="1">
      <alignment horizontal="center" vertical="center" wrapText="1"/>
    </xf>
    <xf numFmtId="0" fontId="3" fillId="106" borderId="1" xfId="0" applyFont="1" applyFill="1" applyBorder="1" applyAlignment="1">
      <alignment horizontal="center" vertical="center" wrapText="1"/>
    </xf>
    <xf numFmtId="0" fontId="3" fillId="107" borderId="1" xfId="0" applyFont="1" applyFill="1" applyBorder="1" applyAlignment="1">
      <alignment horizontal="center" vertical="center" wrapText="1"/>
    </xf>
    <xf numFmtId="0" fontId="3" fillId="108" borderId="1" xfId="0" applyFont="1" applyFill="1" applyBorder="1" applyAlignment="1">
      <alignment horizontal="center" vertical="center" wrapText="1"/>
    </xf>
    <xf numFmtId="0" fontId="2" fillId="109" borderId="1" xfId="0" applyFont="1" applyFill="1" applyBorder="1" applyAlignment="1">
      <alignment horizontal="center" vertical="center" wrapText="1"/>
    </xf>
    <xf numFmtId="0" fontId="2" fillId="110" borderId="1" xfId="0" applyFont="1" applyFill="1" applyBorder="1" applyAlignment="1">
      <alignment horizontal="center" vertical="center" wrapText="1"/>
    </xf>
    <xf numFmtId="0" fontId="2" fillId="111" borderId="1" xfId="0" applyFont="1" applyFill="1" applyBorder="1" applyAlignment="1">
      <alignment horizontal="center" vertical="center" wrapText="1"/>
    </xf>
    <xf numFmtId="0" fontId="2" fillId="112" borderId="1" xfId="0" applyFont="1" applyFill="1" applyBorder="1" applyAlignment="1">
      <alignment horizontal="center" vertical="center" wrapText="1"/>
    </xf>
    <xf numFmtId="0" fontId="2" fillId="113" borderId="1" xfId="0" applyFont="1" applyFill="1" applyBorder="1" applyAlignment="1">
      <alignment horizontal="center" vertical="center" wrapText="1"/>
    </xf>
    <xf numFmtId="0" fontId="2" fillId="114" borderId="1" xfId="0" applyFont="1" applyFill="1" applyBorder="1" applyAlignment="1">
      <alignment horizontal="center" vertical="center" wrapText="1"/>
    </xf>
    <xf numFmtId="0" fontId="3" fillId="115" borderId="1" xfId="0" applyFont="1" applyFill="1" applyBorder="1" applyAlignment="1">
      <alignment horizontal="center" vertical="center" wrapText="1"/>
    </xf>
    <xf numFmtId="0" fontId="3" fillId="116" borderId="1" xfId="0" applyFont="1" applyFill="1" applyBorder="1" applyAlignment="1">
      <alignment horizontal="center" vertical="center" wrapText="1"/>
    </xf>
    <xf numFmtId="0" fontId="3" fillId="117" borderId="1" xfId="0" applyFont="1" applyFill="1" applyBorder="1" applyAlignment="1">
      <alignment horizontal="center" vertical="center" wrapText="1"/>
    </xf>
    <xf numFmtId="0" fontId="3" fillId="118" borderId="1" xfId="0" applyFont="1" applyFill="1" applyBorder="1" applyAlignment="1">
      <alignment horizontal="center" vertical="center" wrapText="1"/>
    </xf>
    <xf numFmtId="0" fontId="2" fillId="119" borderId="1" xfId="0" applyFont="1" applyFill="1" applyBorder="1" applyAlignment="1">
      <alignment horizontal="center" vertical="center" wrapText="1"/>
    </xf>
    <xf numFmtId="0" fontId="2" fillId="120" borderId="1" xfId="0" applyFont="1" applyFill="1" applyBorder="1" applyAlignment="1">
      <alignment horizontal="center" vertical="center" wrapText="1"/>
    </xf>
    <xf numFmtId="0" fontId="2" fillId="121" borderId="1" xfId="0" applyFont="1" applyFill="1" applyBorder="1" applyAlignment="1">
      <alignment horizontal="center" vertical="center" wrapText="1"/>
    </xf>
    <xf numFmtId="0" fontId="2" fillId="122" borderId="1" xfId="0" applyFont="1" applyFill="1" applyBorder="1" applyAlignment="1">
      <alignment horizontal="center" vertical="center" wrapText="1"/>
    </xf>
    <xf numFmtId="0" fontId="2" fillId="123" borderId="1" xfId="0" applyFont="1" applyFill="1" applyBorder="1" applyAlignment="1">
      <alignment horizontal="center" vertical="center" wrapText="1"/>
    </xf>
    <xf numFmtId="0" fontId="2" fillId="124" borderId="1" xfId="0" applyFont="1" applyFill="1" applyBorder="1" applyAlignment="1">
      <alignment horizontal="center" vertical="center" wrapText="1"/>
    </xf>
    <xf numFmtId="0" fontId="3" fillId="125" borderId="1" xfId="0" applyFont="1" applyFill="1" applyBorder="1" applyAlignment="1">
      <alignment horizontal="center" vertical="center" wrapText="1"/>
    </xf>
    <xf numFmtId="0" fontId="3" fillId="126" borderId="1" xfId="0" applyFont="1" applyFill="1" applyBorder="1" applyAlignment="1">
      <alignment horizontal="center" vertical="center" wrapText="1"/>
    </xf>
    <xf numFmtId="0" fontId="3" fillId="127" borderId="1" xfId="0" applyFont="1" applyFill="1" applyBorder="1" applyAlignment="1">
      <alignment horizontal="center" vertical="center" wrapText="1"/>
    </xf>
    <xf numFmtId="0" fontId="3" fillId="128" borderId="1" xfId="0" applyFont="1" applyFill="1" applyBorder="1" applyAlignment="1">
      <alignment horizontal="center" vertical="center" wrapText="1"/>
    </xf>
    <xf numFmtId="0" fontId="2" fillId="129" borderId="1" xfId="0" applyFont="1" applyFill="1" applyBorder="1" applyAlignment="1">
      <alignment horizontal="center" vertical="center" wrapText="1"/>
    </xf>
    <xf numFmtId="0" fontId="2" fillId="130" borderId="1" xfId="0" applyFont="1" applyFill="1" applyBorder="1" applyAlignment="1">
      <alignment horizontal="center" vertical="center" wrapText="1"/>
    </xf>
    <xf numFmtId="0" fontId="2" fillId="131" borderId="1" xfId="0" applyFont="1" applyFill="1" applyBorder="1" applyAlignment="1">
      <alignment horizontal="center" vertical="center" wrapText="1"/>
    </xf>
    <xf numFmtId="0" fontId="2" fillId="132" borderId="1" xfId="0" applyFont="1" applyFill="1" applyBorder="1" applyAlignment="1">
      <alignment horizontal="center" vertical="center" wrapText="1"/>
    </xf>
    <xf numFmtId="0" fontId="2" fillId="133" borderId="1" xfId="0" applyFont="1" applyFill="1" applyBorder="1" applyAlignment="1">
      <alignment horizontal="center" vertical="center" wrapText="1"/>
    </xf>
    <xf numFmtId="0" fontId="3" fillId="134" borderId="1" xfId="0" applyFont="1" applyFill="1" applyBorder="1" applyAlignment="1">
      <alignment horizontal="center" vertical="center" wrapText="1"/>
    </xf>
    <xf numFmtId="0" fontId="3" fillId="135" borderId="1" xfId="0" applyFont="1" applyFill="1" applyBorder="1" applyAlignment="1">
      <alignment horizontal="center" vertical="center" wrapText="1"/>
    </xf>
    <xf numFmtId="0" fontId="3" fillId="136" borderId="1" xfId="0" applyFont="1" applyFill="1" applyBorder="1" applyAlignment="1">
      <alignment horizontal="center" vertical="center" wrapText="1"/>
    </xf>
    <xf numFmtId="0" fontId="3" fillId="137" borderId="1" xfId="0" applyFont="1" applyFill="1" applyBorder="1" applyAlignment="1">
      <alignment horizontal="center" vertical="center" wrapText="1"/>
    </xf>
    <xf numFmtId="0" fontId="2" fillId="138" borderId="1" xfId="0" applyFont="1" applyFill="1" applyBorder="1" applyAlignment="1">
      <alignment horizontal="center" vertical="center" wrapText="1"/>
    </xf>
    <xf numFmtId="0" fontId="2" fillId="139" borderId="1" xfId="0" applyFont="1" applyFill="1" applyBorder="1" applyAlignment="1">
      <alignment horizontal="center" vertical="center" wrapText="1"/>
    </xf>
    <xf numFmtId="0" fontId="2" fillId="140" borderId="1" xfId="0" applyFont="1" applyFill="1" applyBorder="1" applyAlignment="1">
      <alignment horizontal="center" vertical="center" wrapText="1"/>
    </xf>
    <xf numFmtId="0" fontId="2" fillId="141" borderId="1" xfId="0" applyFont="1" applyFill="1" applyBorder="1" applyAlignment="1">
      <alignment horizontal="center" vertical="center" wrapText="1"/>
    </xf>
    <xf numFmtId="0" fontId="2" fillId="142" borderId="1" xfId="0" applyFont="1" applyFill="1" applyBorder="1" applyAlignment="1">
      <alignment horizontal="center" vertical="center" wrapText="1"/>
    </xf>
    <xf numFmtId="0" fontId="2" fillId="143" borderId="1" xfId="0" applyFont="1" applyFill="1" applyBorder="1" applyAlignment="1">
      <alignment horizontal="center" vertical="center" wrapText="1"/>
    </xf>
    <xf numFmtId="0" fontId="3" fillId="144" borderId="1" xfId="0" applyFont="1" applyFill="1" applyBorder="1" applyAlignment="1">
      <alignment horizontal="center" vertical="center" wrapText="1"/>
    </xf>
    <xf numFmtId="0" fontId="3" fillId="145" borderId="1" xfId="0" applyFont="1" applyFill="1" applyBorder="1" applyAlignment="1">
      <alignment horizontal="center" vertical="center" wrapText="1"/>
    </xf>
    <xf numFmtId="0" fontId="3" fillId="146" borderId="1" xfId="0" applyFont="1" applyFill="1" applyBorder="1" applyAlignment="1">
      <alignment horizontal="center" vertical="center" wrapText="1"/>
    </xf>
    <xf numFmtId="0" fontId="3" fillId="147" borderId="1" xfId="0" applyFont="1" applyFill="1" applyBorder="1" applyAlignment="1">
      <alignment horizontal="center" vertical="center" wrapText="1"/>
    </xf>
    <xf numFmtId="0" fontId="2" fillId="148" borderId="1" xfId="0" applyFont="1" applyFill="1" applyBorder="1" applyAlignment="1">
      <alignment horizontal="center" vertical="center" wrapText="1"/>
    </xf>
    <xf numFmtId="0" fontId="2" fillId="149" borderId="1" xfId="0" applyFont="1" applyFill="1" applyBorder="1" applyAlignment="1">
      <alignment horizontal="center" vertical="center" wrapText="1"/>
    </xf>
    <xf numFmtId="0" fontId="2" fillId="150" borderId="1" xfId="0" applyFont="1" applyFill="1" applyBorder="1" applyAlignment="1">
      <alignment horizontal="center" vertical="center" wrapText="1"/>
    </xf>
    <xf numFmtId="0" fontId="2" fillId="151" borderId="1" xfId="0" applyFont="1" applyFill="1" applyBorder="1" applyAlignment="1">
      <alignment horizontal="center" vertical="center" wrapText="1"/>
    </xf>
    <xf numFmtId="0" fontId="2" fillId="152" borderId="1" xfId="0" applyFont="1" applyFill="1" applyBorder="1" applyAlignment="1">
      <alignment horizontal="center" vertical="center" wrapText="1"/>
    </xf>
    <xf numFmtId="0" fontId="2" fillId="153" borderId="1" xfId="0" applyFont="1" applyFill="1" applyBorder="1" applyAlignment="1">
      <alignment horizontal="center" vertical="center" wrapText="1"/>
    </xf>
    <xf numFmtId="0" fontId="3" fillId="154" borderId="1" xfId="0" applyFont="1" applyFill="1" applyBorder="1" applyAlignment="1">
      <alignment horizontal="center" vertical="center" wrapText="1"/>
    </xf>
    <xf numFmtId="0" fontId="3" fillId="155" borderId="1" xfId="0" applyFont="1" applyFill="1" applyBorder="1" applyAlignment="1">
      <alignment horizontal="center" vertical="center" wrapText="1"/>
    </xf>
    <xf numFmtId="0" fontId="3" fillId="156" borderId="1" xfId="0" applyFont="1" applyFill="1" applyBorder="1" applyAlignment="1">
      <alignment horizontal="center" vertical="center" wrapText="1"/>
    </xf>
    <xf numFmtId="0" fontId="3" fillId="157" borderId="1" xfId="0" applyFont="1" applyFill="1" applyBorder="1" applyAlignment="1">
      <alignment horizontal="center" vertical="center" wrapText="1"/>
    </xf>
    <xf numFmtId="0" fontId="2" fillId="158" borderId="1" xfId="0" applyFont="1" applyFill="1" applyBorder="1" applyAlignment="1">
      <alignment horizontal="center" vertical="center" wrapText="1"/>
    </xf>
    <xf numFmtId="0" fontId="2" fillId="159" borderId="1" xfId="0" applyFont="1" applyFill="1" applyBorder="1" applyAlignment="1">
      <alignment horizontal="center" vertical="center" wrapText="1"/>
    </xf>
    <xf numFmtId="0" fontId="2" fillId="160" borderId="1" xfId="0" applyFont="1" applyFill="1" applyBorder="1" applyAlignment="1">
      <alignment horizontal="center" vertical="center" wrapText="1"/>
    </xf>
    <xf numFmtId="0" fontId="2" fillId="161" borderId="1" xfId="0" applyFont="1" applyFill="1" applyBorder="1" applyAlignment="1">
      <alignment horizontal="center" vertical="center" wrapText="1"/>
    </xf>
    <xf numFmtId="0" fontId="2" fillId="162" borderId="1" xfId="0" applyFont="1" applyFill="1" applyBorder="1" applyAlignment="1">
      <alignment horizontal="center" vertical="center" wrapText="1"/>
    </xf>
    <xf numFmtId="0" fontId="2" fillId="163" borderId="1" xfId="0" applyFont="1" applyFill="1" applyBorder="1" applyAlignment="1">
      <alignment horizontal="center" vertical="center" wrapText="1"/>
    </xf>
    <xf numFmtId="0" fontId="3" fillId="164" borderId="1" xfId="0" applyFont="1" applyFill="1" applyBorder="1" applyAlignment="1">
      <alignment horizontal="center" vertical="center" wrapText="1"/>
    </xf>
    <xf numFmtId="0" fontId="3" fillId="165" borderId="1" xfId="0" applyFont="1" applyFill="1" applyBorder="1" applyAlignment="1">
      <alignment horizontal="center" vertical="center" wrapText="1"/>
    </xf>
    <xf numFmtId="0" fontId="3" fillId="166" borderId="1" xfId="0" applyFont="1" applyFill="1" applyBorder="1" applyAlignment="1">
      <alignment horizontal="center" vertical="center" wrapText="1"/>
    </xf>
    <xf numFmtId="0" fontId="3" fillId="167" borderId="1" xfId="0" applyFont="1" applyFill="1" applyBorder="1" applyAlignment="1">
      <alignment horizontal="center" vertical="center" wrapText="1"/>
    </xf>
    <xf numFmtId="0" fontId="2" fillId="168" borderId="1" xfId="0" applyFont="1" applyFill="1" applyBorder="1" applyAlignment="1">
      <alignment horizontal="center" vertical="center" wrapText="1"/>
    </xf>
    <xf numFmtId="0" fontId="2" fillId="169" borderId="1" xfId="0" applyFont="1" applyFill="1" applyBorder="1" applyAlignment="1">
      <alignment horizontal="center" vertical="center" wrapText="1"/>
    </xf>
    <xf numFmtId="0" fontId="2" fillId="170" borderId="1" xfId="0" applyFont="1" applyFill="1" applyBorder="1" applyAlignment="1">
      <alignment horizontal="center" vertical="center" wrapText="1"/>
    </xf>
    <xf numFmtId="0" fontId="2" fillId="171" borderId="1" xfId="0" applyFont="1" applyFill="1" applyBorder="1" applyAlignment="1">
      <alignment horizontal="center" vertical="center" wrapText="1"/>
    </xf>
    <xf numFmtId="0" fontId="2" fillId="172" borderId="1" xfId="0" applyFont="1" applyFill="1" applyBorder="1" applyAlignment="1">
      <alignment horizontal="center" vertical="center" wrapText="1"/>
    </xf>
    <xf numFmtId="0" fontId="3" fillId="173" borderId="1" xfId="0" applyFont="1" applyFill="1" applyBorder="1" applyAlignment="1">
      <alignment horizontal="center" vertical="center" wrapText="1"/>
    </xf>
    <xf numFmtId="0" fontId="3" fillId="174" borderId="1" xfId="0" applyFont="1" applyFill="1" applyBorder="1" applyAlignment="1">
      <alignment horizontal="center" vertical="center" wrapText="1"/>
    </xf>
    <xf numFmtId="0" fontId="3" fillId="175" borderId="1" xfId="0" applyFont="1" applyFill="1" applyBorder="1" applyAlignment="1">
      <alignment horizontal="center" vertical="center" wrapText="1"/>
    </xf>
    <xf numFmtId="0" fontId="3" fillId="176" borderId="1" xfId="0" applyFont="1" applyFill="1" applyBorder="1" applyAlignment="1">
      <alignment horizontal="center" vertical="center" wrapText="1"/>
    </xf>
    <xf numFmtId="0" fontId="2" fillId="177" borderId="1" xfId="0" applyFont="1" applyFill="1" applyBorder="1" applyAlignment="1">
      <alignment horizontal="center" vertical="center" wrapText="1"/>
    </xf>
    <xf numFmtId="0" fontId="2" fillId="178" borderId="1" xfId="0" applyFont="1" applyFill="1" applyBorder="1" applyAlignment="1">
      <alignment horizontal="center" vertical="center" wrapText="1"/>
    </xf>
    <xf numFmtId="0" fontId="2" fillId="179" borderId="1" xfId="0" applyFont="1" applyFill="1" applyBorder="1" applyAlignment="1">
      <alignment horizontal="center" vertical="center" wrapText="1"/>
    </xf>
    <xf numFmtId="0" fontId="2" fillId="180" borderId="1" xfId="0" applyFont="1" applyFill="1" applyBorder="1" applyAlignment="1">
      <alignment horizontal="center" vertical="center" wrapText="1"/>
    </xf>
    <xf numFmtId="0" fontId="2" fillId="181" borderId="1" xfId="0" applyFont="1" applyFill="1" applyBorder="1" applyAlignment="1">
      <alignment horizontal="center" vertical="center" wrapText="1"/>
    </xf>
    <xf numFmtId="0" fontId="2" fillId="182" borderId="1" xfId="0" applyFont="1" applyFill="1" applyBorder="1" applyAlignment="1">
      <alignment horizontal="center" vertical="center" wrapText="1"/>
    </xf>
    <xf numFmtId="0" fontId="3" fillId="183" borderId="1" xfId="0" applyFont="1" applyFill="1" applyBorder="1" applyAlignment="1">
      <alignment horizontal="center" vertical="center" wrapText="1"/>
    </xf>
    <xf numFmtId="0" fontId="3" fillId="184" borderId="1" xfId="0" applyFont="1" applyFill="1" applyBorder="1" applyAlignment="1">
      <alignment horizontal="center" vertical="center" wrapText="1"/>
    </xf>
    <xf numFmtId="0" fontId="3" fillId="185" borderId="1" xfId="0" applyFont="1" applyFill="1" applyBorder="1" applyAlignment="1">
      <alignment horizontal="center" vertical="center" wrapText="1"/>
    </xf>
    <xf numFmtId="0" fontId="3" fillId="186" borderId="1" xfId="0" applyFont="1" applyFill="1" applyBorder="1" applyAlignment="1">
      <alignment horizontal="center" vertical="center" wrapText="1"/>
    </xf>
    <xf numFmtId="0" fontId="2" fillId="187" borderId="1" xfId="0" applyFont="1" applyFill="1" applyBorder="1" applyAlignment="1">
      <alignment horizontal="center" vertical="center" wrapText="1"/>
    </xf>
    <xf numFmtId="0" fontId="2" fillId="188" borderId="1" xfId="0" applyFont="1" applyFill="1" applyBorder="1" applyAlignment="1">
      <alignment horizontal="center" vertical="center" wrapText="1"/>
    </xf>
    <xf numFmtId="0" fontId="2" fillId="189" borderId="1" xfId="0" applyFont="1" applyFill="1" applyBorder="1" applyAlignment="1">
      <alignment horizontal="center" vertical="center" wrapText="1"/>
    </xf>
    <xf numFmtId="0" fontId="2" fillId="190" borderId="1" xfId="0" applyFont="1" applyFill="1" applyBorder="1" applyAlignment="1">
      <alignment horizontal="center" vertical="center" wrapText="1"/>
    </xf>
    <xf numFmtId="0" fontId="2" fillId="191" borderId="1" xfId="0" applyFont="1" applyFill="1" applyBorder="1" applyAlignment="1">
      <alignment horizontal="center" vertical="center" wrapText="1"/>
    </xf>
    <xf numFmtId="0" fontId="2" fillId="192" borderId="1" xfId="0" applyFont="1" applyFill="1" applyBorder="1" applyAlignment="1">
      <alignment horizontal="center" vertical="center" wrapText="1"/>
    </xf>
    <xf numFmtId="0" fontId="3" fillId="193" borderId="1" xfId="0" applyFont="1" applyFill="1" applyBorder="1" applyAlignment="1">
      <alignment horizontal="center" vertical="center" wrapText="1"/>
    </xf>
    <xf numFmtId="0" fontId="3" fillId="194" borderId="1" xfId="0" applyFont="1" applyFill="1" applyBorder="1" applyAlignment="1">
      <alignment horizontal="center" vertical="center" wrapText="1"/>
    </xf>
    <xf numFmtId="0" fontId="3" fillId="195" borderId="1" xfId="0" applyFont="1" applyFill="1" applyBorder="1" applyAlignment="1">
      <alignment horizontal="center" vertical="center" wrapText="1"/>
    </xf>
    <xf numFmtId="0" fontId="3" fillId="196" borderId="1" xfId="0" applyFont="1" applyFill="1" applyBorder="1" applyAlignment="1">
      <alignment horizontal="center" vertical="center" wrapText="1"/>
    </xf>
    <xf numFmtId="0" fontId="2" fillId="197" borderId="1" xfId="0" applyFont="1" applyFill="1" applyBorder="1" applyAlignment="1">
      <alignment horizontal="center" vertical="center" wrapText="1"/>
    </xf>
    <xf numFmtId="0" fontId="2" fillId="198" borderId="1" xfId="0" applyFont="1" applyFill="1" applyBorder="1" applyAlignment="1">
      <alignment horizontal="center" vertical="center" wrapText="1"/>
    </xf>
    <xf numFmtId="0" fontId="2" fillId="199" borderId="1" xfId="0" applyFont="1" applyFill="1" applyBorder="1" applyAlignment="1">
      <alignment horizontal="center" vertical="center" wrapText="1"/>
    </xf>
    <xf numFmtId="0" fontId="2" fillId="200" borderId="1" xfId="0" applyFont="1" applyFill="1" applyBorder="1" applyAlignment="1">
      <alignment horizontal="center" vertical="center" wrapText="1"/>
    </xf>
    <xf numFmtId="0" fontId="2" fillId="201" borderId="1" xfId="0" applyFont="1" applyFill="1" applyBorder="1" applyAlignment="1">
      <alignment horizontal="center" vertical="center" wrapText="1"/>
    </xf>
    <xf numFmtId="0" fontId="2" fillId="202" borderId="1" xfId="0" applyFont="1" applyFill="1" applyBorder="1" applyAlignment="1">
      <alignment horizontal="center" vertical="center" wrapText="1"/>
    </xf>
    <xf numFmtId="0" fontId="3" fillId="203" borderId="1" xfId="0" applyFont="1" applyFill="1" applyBorder="1" applyAlignment="1">
      <alignment horizontal="center" vertical="center" wrapText="1"/>
    </xf>
    <xf numFmtId="0" fontId="3" fillId="204" borderId="1" xfId="0" applyFont="1" applyFill="1" applyBorder="1" applyAlignment="1">
      <alignment horizontal="center" vertical="center" wrapText="1"/>
    </xf>
    <xf numFmtId="0" fontId="3" fillId="205" borderId="1" xfId="0" applyFont="1" applyFill="1" applyBorder="1" applyAlignment="1">
      <alignment horizontal="center" vertical="center" wrapText="1"/>
    </xf>
    <xf numFmtId="0" fontId="3" fillId="206" borderId="1" xfId="0" applyFont="1" applyFill="1" applyBorder="1" applyAlignment="1">
      <alignment horizontal="center" vertical="center" wrapText="1"/>
    </xf>
    <xf numFmtId="0" fontId="2" fillId="207" borderId="1" xfId="0" applyFont="1" applyFill="1" applyBorder="1" applyAlignment="1">
      <alignment horizontal="center" vertical="center" wrapText="1"/>
    </xf>
    <xf numFmtId="0" fontId="2" fillId="208" borderId="1" xfId="0" applyFont="1" applyFill="1" applyBorder="1" applyAlignment="1">
      <alignment horizontal="center" vertical="center" wrapText="1"/>
    </xf>
    <xf numFmtId="0" fontId="2" fillId="209" borderId="1" xfId="0" applyFont="1" applyFill="1" applyBorder="1" applyAlignment="1">
      <alignment horizontal="center" vertical="center" wrapText="1"/>
    </xf>
    <xf numFmtId="0" fontId="2" fillId="210" borderId="1" xfId="0" applyFont="1" applyFill="1" applyBorder="1" applyAlignment="1">
      <alignment horizontal="center" vertical="center" wrapText="1"/>
    </xf>
    <xf numFmtId="0" fontId="2" fillId="211" borderId="1" xfId="0" applyFont="1" applyFill="1" applyBorder="1" applyAlignment="1">
      <alignment horizontal="center" vertical="center" wrapText="1"/>
    </xf>
    <xf numFmtId="0" fontId="3" fillId="212" borderId="1" xfId="0" applyFont="1" applyFill="1" applyBorder="1" applyAlignment="1">
      <alignment horizontal="center" vertical="center" wrapText="1"/>
    </xf>
    <xf numFmtId="0" fontId="3" fillId="213" borderId="1" xfId="0" applyFont="1" applyFill="1" applyBorder="1" applyAlignment="1">
      <alignment horizontal="center" vertical="center" wrapText="1"/>
    </xf>
    <xf numFmtId="0" fontId="3" fillId="214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2" fillId="215" borderId="1" xfId="0" applyFont="1" applyFill="1" applyBorder="1" applyAlignment="1">
      <alignment horizontal="center" vertical="center" wrapText="1"/>
    </xf>
    <xf numFmtId="0" fontId="2" fillId="216" borderId="1" xfId="0" applyFont="1" applyFill="1" applyBorder="1" applyAlignment="1">
      <alignment horizontal="center" vertical="center" wrapText="1"/>
    </xf>
    <xf numFmtId="0" fontId="2" fillId="217" borderId="1" xfId="0" applyFont="1" applyFill="1" applyBorder="1" applyAlignment="1">
      <alignment horizontal="center" vertical="center" wrapText="1"/>
    </xf>
    <xf numFmtId="0" fontId="2" fillId="218" borderId="1" xfId="0" applyFont="1" applyFill="1" applyBorder="1" applyAlignment="1">
      <alignment horizontal="center" vertical="center" wrapText="1"/>
    </xf>
    <xf numFmtId="0" fontId="2" fillId="219" borderId="1" xfId="0" applyFont="1" applyFill="1" applyBorder="1" applyAlignment="1">
      <alignment horizontal="center" vertical="center" wrapText="1"/>
    </xf>
    <xf numFmtId="0" fontId="2" fillId="220" borderId="1" xfId="0" applyFont="1" applyFill="1" applyBorder="1" applyAlignment="1">
      <alignment horizontal="center" vertical="center" wrapText="1"/>
    </xf>
    <xf numFmtId="0" fontId="3" fillId="221" borderId="1" xfId="0" applyFont="1" applyFill="1" applyBorder="1" applyAlignment="1">
      <alignment horizontal="center" vertical="center" wrapText="1"/>
    </xf>
    <xf numFmtId="0" fontId="3" fillId="222" borderId="1" xfId="0" applyFont="1" applyFill="1" applyBorder="1" applyAlignment="1">
      <alignment horizontal="center" vertical="center" wrapText="1"/>
    </xf>
    <xf numFmtId="0" fontId="3" fillId="223" borderId="1" xfId="0" applyFont="1" applyFill="1" applyBorder="1" applyAlignment="1">
      <alignment horizontal="center" vertical="center" wrapText="1"/>
    </xf>
    <xf numFmtId="0" fontId="3" fillId="224" borderId="1" xfId="0" applyFont="1" applyFill="1" applyBorder="1" applyAlignment="1">
      <alignment horizontal="center" vertical="center" wrapText="1"/>
    </xf>
    <xf numFmtId="0" fontId="2" fillId="225" borderId="1" xfId="0" applyFont="1" applyFill="1" applyBorder="1" applyAlignment="1">
      <alignment horizontal="center" vertical="center" wrapText="1"/>
    </xf>
    <xf numFmtId="0" fontId="2" fillId="226" borderId="1" xfId="0" applyFont="1" applyFill="1" applyBorder="1" applyAlignment="1">
      <alignment horizontal="center" vertical="center" wrapText="1"/>
    </xf>
    <xf numFmtId="0" fontId="2" fillId="227" borderId="1" xfId="0" applyFont="1" applyFill="1" applyBorder="1" applyAlignment="1">
      <alignment horizontal="center" vertical="center" wrapText="1"/>
    </xf>
    <xf numFmtId="0" fontId="2" fillId="228" borderId="1" xfId="0" applyFont="1" applyFill="1" applyBorder="1" applyAlignment="1">
      <alignment horizontal="center" vertical="center" wrapText="1"/>
    </xf>
    <xf numFmtId="0" fontId="2" fillId="229" borderId="1" xfId="0" applyFont="1" applyFill="1" applyBorder="1" applyAlignment="1">
      <alignment horizontal="center" vertical="center" wrapText="1"/>
    </xf>
    <xf numFmtId="0" fontId="2" fillId="230" borderId="1" xfId="0" applyFont="1" applyFill="1" applyBorder="1" applyAlignment="1">
      <alignment horizontal="center" vertical="center" wrapText="1"/>
    </xf>
    <xf numFmtId="0" fontId="3" fillId="231" borderId="1" xfId="0" applyFont="1" applyFill="1" applyBorder="1" applyAlignment="1">
      <alignment horizontal="center" vertical="center" wrapText="1"/>
    </xf>
    <xf numFmtId="0" fontId="3" fillId="232" borderId="1" xfId="0" applyFont="1" applyFill="1" applyBorder="1" applyAlignment="1">
      <alignment horizontal="center" vertical="center" wrapText="1"/>
    </xf>
    <xf numFmtId="0" fontId="3" fillId="233" borderId="1" xfId="0" applyFont="1" applyFill="1" applyBorder="1" applyAlignment="1">
      <alignment horizontal="center" vertical="center" wrapText="1"/>
    </xf>
    <xf numFmtId="0" fontId="3" fillId="234" borderId="1" xfId="0" applyFont="1" applyFill="1" applyBorder="1" applyAlignment="1">
      <alignment horizontal="center" vertical="center" wrapText="1"/>
    </xf>
    <xf numFmtId="0" fontId="2" fillId="235" borderId="1" xfId="0" applyFont="1" applyFill="1" applyBorder="1" applyAlignment="1">
      <alignment horizontal="center" vertical="center" wrapText="1"/>
    </xf>
    <xf numFmtId="0" fontId="2" fillId="236" borderId="1" xfId="0" applyFont="1" applyFill="1" applyBorder="1" applyAlignment="1">
      <alignment horizontal="center" vertical="center" wrapText="1"/>
    </xf>
    <xf numFmtId="0" fontId="2" fillId="237" borderId="1" xfId="0" applyFont="1" applyFill="1" applyBorder="1" applyAlignment="1">
      <alignment horizontal="center" vertical="center" wrapText="1"/>
    </xf>
    <xf numFmtId="0" fontId="2" fillId="238" borderId="1" xfId="0" applyFont="1" applyFill="1" applyBorder="1" applyAlignment="1">
      <alignment horizontal="center" vertical="center" wrapText="1"/>
    </xf>
    <xf numFmtId="0" fontId="2" fillId="239" borderId="1" xfId="0" applyFont="1" applyFill="1" applyBorder="1" applyAlignment="1">
      <alignment horizontal="center" vertical="center" wrapText="1"/>
    </xf>
    <xf numFmtId="0" fontId="2" fillId="240" borderId="1" xfId="0" applyFont="1" applyFill="1" applyBorder="1" applyAlignment="1">
      <alignment horizontal="center" vertical="center" wrapText="1"/>
    </xf>
    <xf numFmtId="0" fontId="3" fillId="241" borderId="1" xfId="0" applyFont="1" applyFill="1" applyBorder="1" applyAlignment="1">
      <alignment horizontal="center" vertical="center" wrapText="1"/>
    </xf>
    <xf numFmtId="0" fontId="3" fillId="242" borderId="1" xfId="0" applyFont="1" applyFill="1" applyBorder="1" applyAlignment="1">
      <alignment horizontal="center" vertical="center" wrapText="1"/>
    </xf>
    <xf numFmtId="0" fontId="3" fillId="243" borderId="1" xfId="0" applyFont="1" applyFill="1" applyBorder="1" applyAlignment="1">
      <alignment horizontal="center" vertical="center" wrapText="1"/>
    </xf>
    <xf numFmtId="0" fontId="3" fillId="244" borderId="1" xfId="0" applyFont="1" applyFill="1" applyBorder="1" applyAlignment="1">
      <alignment horizontal="center" vertical="center" wrapText="1"/>
    </xf>
    <xf numFmtId="0" fontId="3" fillId="245" borderId="1" xfId="0" applyFont="1" applyFill="1" applyBorder="1" applyAlignment="1">
      <alignment horizontal="center" vertical="center" wrapText="1"/>
    </xf>
    <xf numFmtId="0" fontId="2" fillId="246" borderId="1" xfId="0" applyFont="1" applyFill="1" applyBorder="1" applyAlignment="1">
      <alignment horizontal="center" vertical="center" wrapText="1"/>
    </xf>
    <xf numFmtId="0" fontId="2" fillId="247" borderId="1" xfId="0" applyFont="1" applyFill="1" applyBorder="1" applyAlignment="1">
      <alignment horizontal="center" vertical="center" wrapText="1"/>
    </xf>
    <xf numFmtId="0" fontId="2" fillId="248" borderId="1" xfId="0" applyFont="1" applyFill="1" applyBorder="1" applyAlignment="1">
      <alignment horizontal="center" vertical="center" wrapText="1"/>
    </xf>
    <xf numFmtId="0" fontId="2" fillId="249" borderId="1" xfId="0" applyFont="1" applyFill="1" applyBorder="1" applyAlignment="1">
      <alignment horizontal="center" vertical="center" wrapText="1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51" borderId="0" xfId="0" applyFill="1" applyAlignment="1">
      <alignment horizontal="center" vertical="center"/>
    </xf>
    <xf numFmtId="0" fontId="0" fillId="250" borderId="0" xfId="0" applyFill="1" applyAlignment="1">
      <alignment horizontal="center" vertical="center"/>
    </xf>
    <xf numFmtId="0" fontId="0" fillId="251" borderId="0" xfId="0" applyFill="1" applyAlignment="1">
      <alignment horizontal="center" vertical="center" wrapText="1"/>
    </xf>
    <xf numFmtId="0" fontId="0" fillId="252" borderId="0" xfId="0" applyFill="1" applyAlignment="1">
      <alignment horizontal="center" vertical="center"/>
    </xf>
    <xf numFmtId="0" fontId="0" fillId="251" borderId="2" xfId="0" applyFill="1" applyBorder="1" applyAlignment="1">
      <alignment horizontal="center" vertical="center"/>
    </xf>
    <xf numFmtId="0" fontId="0" fillId="251" borderId="5" xfId="0" applyFill="1" applyBorder="1" applyAlignment="1">
      <alignment horizontal="center" vertical="center"/>
    </xf>
    <xf numFmtId="0" fontId="0" fillId="251" borderId="7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252" borderId="12" xfId="0" applyFill="1" applyBorder="1" applyAlignment="1">
      <alignment horizontal="center" vertical="center"/>
    </xf>
    <xf numFmtId="0" fontId="0" fillId="252" borderId="10" xfId="0" applyFill="1" applyBorder="1" applyAlignment="1">
      <alignment horizontal="center" vertical="center"/>
    </xf>
    <xf numFmtId="0" fontId="0" fillId="252" borderId="3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52" borderId="8" xfId="0" applyFill="1" applyBorder="1" applyAlignment="1">
      <alignment horizontal="center" vertical="center"/>
    </xf>
    <xf numFmtId="0" fontId="0" fillId="252" borderId="9" xfId="0" applyFill="1" applyBorder="1" applyAlignment="1">
      <alignment horizontal="center" vertical="center"/>
    </xf>
    <xf numFmtId="0" fontId="0" fillId="252" borderId="6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52" borderId="13" xfId="0" applyFill="1" applyBorder="1" applyAlignment="1">
      <alignment horizontal="center" vertical="center"/>
    </xf>
    <xf numFmtId="0" fontId="0" fillId="253" borderId="0" xfId="0" applyFill="1" applyAlignment="1">
      <alignment horizontal="center" vertical="center"/>
    </xf>
    <xf numFmtId="0" fontId="0" fillId="252" borderId="14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252" borderId="5" xfId="0" applyFill="1" applyBorder="1" applyAlignment="1">
      <alignment horizontal="center" vertical="center"/>
    </xf>
    <xf numFmtId="0" fontId="0" fillId="252" borderId="7" xfId="0" applyFill="1" applyBorder="1" applyAlignment="1">
      <alignment horizontal="center" vertical="center"/>
    </xf>
    <xf numFmtId="0" fontId="0" fillId="251" borderId="3" xfId="0" applyFill="1" applyBorder="1" applyAlignment="1">
      <alignment horizontal="center" vertical="center"/>
    </xf>
    <xf numFmtId="0" fontId="0" fillId="251" borderId="4" xfId="0" applyFill="1" applyBorder="1" applyAlignment="1">
      <alignment horizontal="center" vertical="center"/>
    </xf>
    <xf numFmtId="0" fontId="0" fillId="251" borderId="4" xfId="0" applyFill="1" applyBorder="1" applyAlignment="1">
      <alignment horizontal="center" vertical="center" wrapText="1"/>
    </xf>
    <xf numFmtId="0" fontId="0" fillId="251" borderId="6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50" borderId="7" xfId="0" applyFill="1" applyBorder="1" applyAlignment="1">
      <alignment horizontal="center" vertical="center"/>
    </xf>
    <xf numFmtId="0" fontId="0" fillId="250" borderId="6" xfId="0" applyFill="1" applyBorder="1" applyAlignment="1">
      <alignment horizontal="center" vertical="center"/>
    </xf>
    <xf numFmtId="0" fontId="0" fillId="250" borderId="9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12" xfId="0" applyBorder="1" applyAlignment="1">
      <alignment vertical="center"/>
    </xf>
    <xf numFmtId="0" fontId="0" fillId="253" borderId="2" xfId="0" applyFill="1" applyBorder="1" applyAlignment="1">
      <alignment horizontal="center" vertical="center"/>
    </xf>
    <xf numFmtId="0" fontId="0" fillId="253" borderId="3" xfId="0" applyFill="1" applyBorder="1" applyAlignment="1">
      <alignment horizontal="center" vertical="center"/>
    </xf>
    <xf numFmtId="0" fontId="0" fillId="253" borderId="4" xfId="0" applyFill="1" applyBorder="1" applyAlignment="1">
      <alignment horizontal="center" vertical="center"/>
    </xf>
    <xf numFmtId="0" fontId="0" fillId="253" borderId="5" xfId="0" applyFill="1" applyBorder="1" applyAlignment="1">
      <alignment horizontal="center" vertical="center"/>
    </xf>
    <xf numFmtId="0" fontId="0" fillId="253" borderId="6" xfId="0" applyFill="1" applyBorder="1" applyAlignment="1">
      <alignment horizontal="center" vertical="center"/>
    </xf>
    <xf numFmtId="0" fontId="0" fillId="251" borderId="11" xfId="0" applyFill="1" applyBorder="1" applyAlignment="1">
      <alignment horizontal="center" vertical="center"/>
    </xf>
    <xf numFmtId="0" fontId="0" fillId="253" borderId="17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252" borderId="15" xfId="0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250" borderId="12" xfId="0" applyFill="1" applyBorder="1" applyAlignment="1">
      <alignment horizontal="center" vertical="center"/>
    </xf>
    <xf numFmtId="0" fontId="0" fillId="253" borderId="11" xfId="0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250" borderId="16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horizontal="center" vertical="center" wrapText="1"/>
    </xf>
    <xf numFmtId="0" fontId="0" fillId="253" borderId="7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251" borderId="18" xfId="0" applyFill="1" applyBorder="1" applyAlignment="1">
      <alignment horizontal="center" vertical="center"/>
    </xf>
    <xf numFmtId="0" fontId="0" fillId="252" borderId="19" xfId="0" applyFill="1" applyBorder="1" applyAlignment="1">
      <alignment horizontal="center" vertical="center"/>
    </xf>
    <xf numFmtId="0" fontId="0" fillId="251" borderId="20" xfId="0" applyFill="1" applyBorder="1" applyAlignment="1">
      <alignment horizontal="center" vertical="center"/>
    </xf>
    <xf numFmtId="0" fontId="0" fillId="252" borderId="21" xfId="0" applyFill="1" applyBorder="1" applyAlignment="1">
      <alignment horizontal="center" vertical="center"/>
    </xf>
    <xf numFmtId="0" fontId="0" fillId="252" borderId="22" xfId="0" applyFill="1" applyBorder="1" applyAlignment="1">
      <alignment horizontal="center" vertical="center"/>
    </xf>
    <xf numFmtId="0" fontId="0" fillId="253" borderId="8" xfId="0" applyFill="1" applyBorder="1" applyAlignment="1">
      <alignment horizontal="center" vertical="center"/>
    </xf>
    <xf numFmtId="0" fontId="0" fillId="253" borderId="9" xfId="0" applyFill="1" applyBorder="1" applyAlignment="1">
      <alignment horizontal="center" vertical="center"/>
    </xf>
    <xf numFmtId="0" fontId="0" fillId="253" borderId="4" xfId="0" applyFill="1" applyBorder="1" applyAlignment="1">
      <alignment horizontal="center" vertical="center" wrapText="1"/>
    </xf>
    <xf numFmtId="0" fontId="0" fillId="250" borderId="3" xfId="0" applyFill="1" applyBorder="1" applyAlignment="1">
      <alignment horizontal="center" vertical="center"/>
    </xf>
    <xf numFmtId="0" fontId="0" fillId="250" borderId="4" xfId="0" applyFill="1" applyBorder="1" applyAlignment="1">
      <alignment horizontal="center" vertical="center"/>
    </xf>
    <xf numFmtId="0" fontId="0" fillId="250" borderId="8" xfId="0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10" xfId="0" applyBorder="1" applyAlignment="1">
      <alignment horizontal="center" wrapText="1"/>
    </xf>
    <xf numFmtId="0" fontId="0" fillId="253" borderId="11" xfId="0" applyFill="1" applyBorder="1" applyAlignment="1">
      <alignment horizontal="center" vertical="center"/>
    </xf>
    <xf numFmtId="0" fontId="0" fillId="0" borderId="0" xfId="0" applyAlignment="1">
      <alignment horizontal="center" vertical="center" textRotation="45"/>
    </xf>
    <xf numFmtId="0" fontId="0" fillId="250" borderId="10" xfId="0" applyFill="1" applyBorder="1" applyAlignment="1">
      <alignment horizontal="center" vertical="center"/>
    </xf>
    <xf numFmtId="0" fontId="0" fillId="0" borderId="5" xfId="0" applyBorder="1" applyAlignment="1">
      <alignment vertical="center" textRotation="90" wrapText="1"/>
    </xf>
    <xf numFmtId="0" fontId="0" fillId="253" borderId="13" xfId="0" applyFill="1" applyBorder="1" applyAlignment="1">
      <alignment horizontal="center" vertical="center"/>
    </xf>
    <xf numFmtId="0" fontId="0" fillId="0" borderId="13" xfId="0" quotePrefix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53" borderId="24" xfId="0" applyFill="1" applyBorder="1" applyAlignment="1">
      <alignment horizontal="center" vertical="center"/>
    </xf>
    <xf numFmtId="0" fontId="0" fillId="253" borderId="25" xfId="0" applyFill="1" applyBorder="1" applyAlignment="1">
      <alignment horizontal="center" vertical="center"/>
    </xf>
    <xf numFmtId="0" fontId="0" fillId="251" borderId="18" xfId="0" applyFill="1" applyBorder="1" applyAlignment="1">
      <alignment horizontal="center" vertical="center" wrapText="1"/>
    </xf>
    <xf numFmtId="0" fontId="0" fillId="0" borderId="19" xfId="0" quotePrefix="1" applyBorder="1" applyAlignment="1">
      <alignment horizontal="center" vertical="center"/>
    </xf>
    <xf numFmtId="0" fontId="0" fillId="253" borderId="19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256" borderId="0" xfId="0" applyFill="1" applyAlignment="1">
      <alignment horizontal="center" vertical="center"/>
    </xf>
    <xf numFmtId="0" fontId="0" fillId="256" borderId="8" xfId="0" applyFill="1" applyBorder="1" applyAlignment="1">
      <alignment horizontal="center" vertical="center"/>
    </xf>
    <xf numFmtId="0" fontId="0" fillId="253" borderId="12" xfId="0" applyFill="1" applyBorder="1" applyAlignment="1">
      <alignment horizontal="center" vertical="center"/>
    </xf>
    <xf numFmtId="0" fontId="0" fillId="257" borderId="0" xfId="0" applyFill="1" applyAlignment="1">
      <alignment horizontal="center" vertical="center"/>
    </xf>
    <xf numFmtId="0" fontId="0" fillId="257" borderId="8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253" borderId="5" xfId="0" applyFill="1" applyBorder="1" applyAlignment="1">
      <alignment horizontal="center" vertical="center" wrapText="1"/>
    </xf>
    <xf numFmtId="0" fontId="0" fillId="253" borderId="0" xfId="0" applyFill="1" applyAlignment="1">
      <alignment horizontal="center" vertical="center" wrapText="1"/>
    </xf>
    <xf numFmtId="0" fontId="0" fillId="253" borderId="6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51" borderId="0" xfId="0" applyFill="1" applyAlignment="1">
      <alignment horizontal="center" vertical="center"/>
    </xf>
    <xf numFmtId="0" fontId="0" fillId="251" borderId="0" xfId="0" applyFill="1" applyAlignment="1">
      <alignment horizontal="center" vertical="center" wrapText="1"/>
    </xf>
    <xf numFmtId="0" fontId="0" fillId="251" borderId="23" xfId="0" applyFill="1" applyBorder="1" applyAlignment="1">
      <alignment horizontal="center" vertical="center"/>
    </xf>
    <xf numFmtId="0" fontId="0" fillId="251" borderId="24" xfId="0" applyFill="1" applyBorder="1" applyAlignment="1">
      <alignment horizontal="center" vertical="center"/>
    </xf>
    <xf numFmtId="0" fontId="0" fillId="251" borderId="25" xfId="0" applyFill="1" applyBorder="1" applyAlignment="1">
      <alignment horizontal="center" vertical="center"/>
    </xf>
    <xf numFmtId="0" fontId="10" fillId="250" borderId="2" xfId="0" applyFont="1" applyFill="1" applyBorder="1" applyAlignment="1">
      <alignment horizontal="left" vertical="center" wrapText="1"/>
    </xf>
    <xf numFmtId="0" fontId="9" fillId="250" borderId="3" xfId="0" applyFont="1" applyFill="1" applyBorder="1" applyAlignment="1">
      <alignment horizontal="left" vertical="center" wrapText="1"/>
    </xf>
    <xf numFmtId="0" fontId="9" fillId="250" borderId="4" xfId="0" applyFont="1" applyFill="1" applyBorder="1" applyAlignment="1">
      <alignment horizontal="left" vertical="center" wrapText="1"/>
    </xf>
    <xf numFmtId="0" fontId="9" fillId="250" borderId="5" xfId="0" applyFont="1" applyFill="1" applyBorder="1" applyAlignment="1">
      <alignment horizontal="left" vertical="center" wrapText="1"/>
    </xf>
    <xf numFmtId="0" fontId="9" fillId="250" borderId="0" xfId="0" applyFont="1" applyFill="1" applyAlignment="1">
      <alignment horizontal="left" vertical="center" wrapText="1"/>
    </xf>
    <xf numFmtId="0" fontId="9" fillId="250" borderId="6" xfId="0" applyFont="1" applyFill="1" applyBorder="1" applyAlignment="1">
      <alignment horizontal="left" vertical="center" wrapText="1"/>
    </xf>
    <xf numFmtId="0" fontId="9" fillId="250" borderId="7" xfId="0" applyFont="1" applyFill="1" applyBorder="1" applyAlignment="1">
      <alignment horizontal="left" vertical="center" wrapText="1"/>
    </xf>
    <xf numFmtId="0" fontId="9" fillId="250" borderId="8" xfId="0" applyFont="1" applyFill="1" applyBorder="1" applyAlignment="1">
      <alignment horizontal="left" vertical="center" wrapText="1"/>
    </xf>
    <xf numFmtId="0" fontId="9" fillId="250" borderId="9" xfId="0" applyFont="1" applyFill="1" applyBorder="1" applyAlignment="1">
      <alignment horizontal="left" vertical="center" wrapText="1"/>
    </xf>
    <xf numFmtId="0" fontId="0" fillId="251" borderId="11" xfId="0" applyFill="1" applyBorder="1" applyAlignment="1">
      <alignment horizontal="center" vertical="center"/>
    </xf>
    <xf numFmtId="0" fontId="0" fillId="251" borderId="10" xfId="0" applyFill="1" applyBorder="1" applyAlignment="1">
      <alignment horizontal="center" vertical="center"/>
    </xf>
    <xf numFmtId="0" fontId="0" fillId="251" borderId="12" xfId="0" applyFill="1" applyBorder="1" applyAlignment="1">
      <alignment horizontal="center" vertical="center"/>
    </xf>
    <xf numFmtId="0" fontId="0" fillId="253" borderId="11" xfId="0" applyFill="1" applyBorder="1" applyAlignment="1">
      <alignment horizontal="center" vertical="center" wrapText="1"/>
    </xf>
    <xf numFmtId="0" fontId="0" fillId="253" borderId="10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255" borderId="11" xfId="0" applyFont="1" applyFill="1" applyBorder="1" applyAlignment="1">
      <alignment horizontal="center" vertical="center"/>
    </xf>
    <xf numFmtId="0" fontId="0" fillId="255" borderId="10" xfId="0" applyFill="1" applyBorder="1" applyAlignment="1">
      <alignment horizontal="center" vertical="center"/>
    </xf>
    <xf numFmtId="0" fontId="0" fillId="255" borderId="12" xfId="0" applyFill="1" applyBorder="1" applyAlignment="1">
      <alignment horizontal="center" vertical="center"/>
    </xf>
    <xf numFmtId="0" fontId="0" fillId="254" borderId="0" xfId="0" applyFill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251" borderId="2" xfId="0" applyFill="1" applyBorder="1" applyAlignment="1">
      <alignment horizontal="center" vertical="center"/>
    </xf>
    <xf numFmtId="0" fontId="0" fillId="251" borderId="3" xfId="0" applyFill="1" applyBorder="1" applyAlignment="1">
      <alignment horizontal="center" vertical="center"/>
    </xf>
    <xf numFmtId="0" fontId="0" fillId="251" borderId="4" xfId="0" applyFill="1" applyBorder="1" applyAlignment="1">
      <alignment horizontal="center" vertical="center"/>
    </xf>
    <xf numFmtId="0" fontId="0" fillId="254" borderId="2" xfId="0" applyFill="1" applyBorder="1" applyAlignment="1">
      <alignment horizontal="center" vertical="center"/>
    </xf>
    <xf numFmtId="0" fontId="0" fillId="254" borderId="3" xfId="0" applyFill="1" applyBorder="1" applyAlignment="1">
      <alignment horizontal="center" vertical="center"/>
    </xf>
    <xf numFmtId="0" fontId="0" fillId="254" borderId="4" xfId="0" applyFill="1" applyBorder="1" applyAlignment="1">
      <alignment horizontal="center" vertical="center"/>
    </xf>
    <xf numFmtId="0" fontId="0" fillId="254" borderId="8" xfId="0" applyFill="1" applyBorder="1" applyAlignment="1">
      <alignment horizontal="center" vertical="center"/>
    </xf>
    <xf numFmtId="0" fontId="0" fillId="254" borderId="9" xfId="0" applyFill="1" applyBorder="1" applyAlignment="1">
      <alignment horizontal="center" vertical="center"/>
    </xf>
    <xf numFmtId="0" fontId="0" fillId="251" borderId="5" xfId="0" applyFill="1" applyBorder="1" applyAlignment="1">
      <alignment horizontal="center" vertical="center"/>
    </xf>
    <xf numFmtId="0" fontId="0" fillId="251" borderId="7" xfId="0" applyFill="1" applyBorder="1" applyAlignment="1">
      <alignment horizontal="center" vertical="center"/>
    </xf>
    <xf numFmtId="0" fontId="0" fillId="254" borderId="5" xfId="0" applyFill="1" applyBorder="1" applyAlignment="1">
      <alignment horizontal="center" vertical="center"/>
    </xf>
    <xf numFmtId="0" fontId="0" fillId="251" borderId="2" xfId="0" applyFill="1" applyBorder="1" applyAlignment="1">
      <alignment horizontal="center" vertical="center" wrapText="1"/>
    </xf>
    <xf numFmtId="0" fontId="0" fillId="251" borderId="5" xfId="0" applyFill="1" applyBorder="1" applyAlignment="1">
      <alignment horizontal="center" vertical="center" wrapText="1"/>
    </xf>
    <xf numFmtId="0" fontId="0" fillId="251" borderId="7" xfId="0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251" borderId="6" xfId="0" applyFill="1" applyBorder="1" applyAlignment="1">
      <alignment horizontal="center" vertical="center"/>
    </xf>
    <xf numFmtId="0" fontId="0" fillId="253" borderId="2" xfId="0" applyFill="1" applyBorder="1" applyAlignment="1">
      <alignment horizontal="center" vertical="center" textRotation="90"/>
    </xf>
    <xf numFmtId="0" fontId="0" fillId="253" borderId="5" xfId="0" applyFill="1" applyBorder="1" applyAlignment="1">
      <alignment horizontal="center" vertical="center" textRotation="90"/>
    </xf>
    <xf numFmtId="0" fontId="0" fillId="253" borderId="7" xfId="0" applyFill="1" applyBorder="1" applyAlignment="1">
      <alignment horizontal="center" vertical="center" textRotation="90"/>
    </xf>
    <xf numFmtId="0" fontId="0" fillId="253" borderId="2" xfId="0" applyFill="1" applyBorder="1" applyAlignment="1">
      <alignment horizontal="center" vertical="center" textRotation="90" wrapText="1"/>
    </xf>
    <xf numFmtId="0" fontId="0" fillId="253" borderId="5" xfId="0" applyFill="1" applyBorder="1" applyAlignment="1">
      <alignment horizontal="center" vertical="center" textRotation="90" wrapText="1"/>
    </xf>
    <xf numFmtId="0" fontId="0" fillId="253" borderId="7" xfId="0" applyFill="1" applyBorder="1" applyAlignment="1">
      <alignment horizontal="center" vertical="center" textRotation="90" wrapText="1"/>
    </xf>
    <xf numFmtId="0" fontId="0" fillId="253" borderId="5" xfId="0" applyFill="1" applyBorder="1" applyAlignment="1">
      <alignment horizontal="center" vertical="center"/>
    </xf>
    <xf numFmtId="0" fontId="0" fillId="253" borderId="0" xfId="0" applyFill="1" applyAlignment="1">
      <alignment horizontal="center" vertical="center"/>
    </xf>
    <xf numFmtId="0" fontId="0" fillId="251" borderId="8" xfId="0" applyFill="1" applyBorder="1" applyAlignment="1">
      <alignment horizontal="center" vertical="center"/>
    </xf>
    <xf numFmtId="0" fontId="0" fillId="253" borderId="6" xfId="0" applyFill="1" applyBorder="1" applyAlignment="1">
      <alignment horizontal="center" vertical="center"/>
    </xf>
    <xf numFmtId="0" fontId="0" fillId="251" borderId="3" xfId="0" applyFill="1" applyBorder="1" applyAlignment="1">
      <alignment horizontal="center" vertical="center" wrapText="1"/>
    </xf>
    <xf numFmtId="0" fontId="0" fillId="251" borderId="4" xfId="0" applyFill="1" applyBorder="1" applyAlignment="1">
      <alignment horizontal="center" vertical="center" wrapText="1"/>
    </xf>
    <xf numFmtId="0" fontId="0" fillId="253" borderId="3" xfId="0" applyFill="1" applyBorder="1" applyAlignment="1">
      <alignment horizontal="center" vertical="center"/>
    </xf>
    <xf numFmtId="0" fontId="0" fillId="251" borderId="6" xfId="0" applyFill="1" applyBorder="1" applyAlignment="1">
      <alignment horizontal="center" vertical="center" wrapText="1"/>
    </xf>
    <xf numFmtId="0" fontId="0" fillId="251" borderId="9" xfId="0" applyFill="1" applyBorder="1" applyAlignment="1">
      <alignment horizontal="center" vertical="center" wrapText="1"/>
    </xf>
  </cellXfs>
  <cellStyles count="1">
    <cellStyle name="Normalny" xfId="0" builtinId="0"/>
  </cellStyles>
  <dxfs count="6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314325</xdr:colOff>
      <xdr:row>28</xdr:row>
      <xdr:rowOff>66675</xdr:rowOff>
    </xdr:from>
    <xdr:to>
      <xdr:col>36</xdr:col>
      <xdr:colOff>400743</xdr:colOff>
      <xdr:row>47</xdr:row>
      <xdr:rowOff>76901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A0EEC8CF-3650-FCFF-5296-0F742492A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222200" y="7315200"/>
          <a:ext cx="4963218" cy="5020376"/>
        </a:xfrm>
        <a:prstGeom prst="rect">
          <a:avLst/>
        </a:prstGeom>
      </xdr:spPr>
    </xdr:pic>
    <xdr:clientData/>
  </xdr:twoCellAnchor>
  <xdr:twoCellAnchor editAs="oneCell">
    <xdr:from>
      <xdr:col>22</xdr:col>
      <xdr:colOff>142875</xdr:colOff>
      <xdr:row>26</xdr:row>
      <xdr:rowOff>142875</xdr:rowOff>
    </xdr:from>
    <xdr:to>
      <xdr:col>25</xdr:col>
      <xdr:colOff>981516</xdr:colOff>
      <xdr:row>38</xdr:row>
      <xdr:rowOff>343357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F8CCBA0A-EF50-631D-0A09-5F43BABF7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278725" y="7000875"/>
          <a:ext cx="3162741" cy="3277057"/>
        </a:xfrm>
        <a:prstGeom prst="rect">
          <a:avLst/>
        </a:prstGeom>
      </xdr:spPr>
    </xdr:pic>
    <xdr:clientData/>
  </xdr:twoCellAnchor>
  <xdr:twoCellAnchor editAs="oneCell">
    <xdr:from>
      <xdr:col>21</xdr:col>
      <xdr:colOff>342899</xdr:colOff>
      <xdr:row>38</xdr:row>
      <xdr:rowOff>190499</xdr:rowOff>
    </xdr:from>
    <xdr:to>
      <xdr:col>26</xdr:col>
      <xdr:colOff>57149</xdr:colOff>
      <xdr:row>55</xdr:row>
      <xdr:rowOff>176760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4D1BD3DA-2436-F09D-BCB4-8DA220B89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869149" y="10144124"/>
          <a:ext cx="3781425" cy="5186911"/>
        </a:xfrm>
        <a:prstGeom prst="rect">
          <a:avLst/>
        </a:prstGeom>
      </xdr:spPr>
    </xdr:pic>
    <xdr:clientData/>
  </xdr:twoCellAnchor>
  <xdr:twoCellAnchor editAs="oneCell">
    <xdr:from>
      <xdr:col>14</xdr:col>
      <xdr:colOff>295275</xdr:colOff>
      <xdr:row>41</xdr:row>
      <xdr:rowOff>171450</xdr:rowOff>
    </xdr:from>
    <xdr:to>
      <xdr:col>16</xdr:col>
      <xdr:colOff>133790</xdr:colOff>
      <xdr:row>54</xdr:row>
      <xdr:rowOff>171959</xdr:rowOff>
    </xdr:to>
    <xdr:pic>
      <xdr:nvPicPr>
        <xdr:cNvPr id="5" name="Obraz 4">
          <a:extLst>
            <a:ext uri="{FF2B5EF4-FFF2-40B4-BE49-F238E27FC236}">
              <a16:creationId xmlns:a16="http://schemas.microsoft.com/office/drawing/2014/main" id="{AFBEAA97-9974-F21D-F653-090322DE4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63325" y="11287125"/>
          <a:ext cx="3153215" cy="36485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BC93-74DC-4CE1-9D5F-74B1639B1CBE}">
  <sheetPr codeName="Arkusz1"/>
  <dimension ref="D1:AB76"/>
  <sheetViews>
    <sheetView tabSelected="1" topLeftCell="D2" zoomScaleNormal="100" workbookViewId="0">
      <selection activeCell="Z7" sqref="Z7"/>
    </sheetView>
  </sheetViews>
  <sheetFormatPr defaultColWidth="9.140625" defaultRowHeight="15" x14ac:dyDescent="0.25"/>
  <cols>
    <col min="1" max="2" width="9.140625" style="256"/>
    <col min="3" max="3" width="6.140625" style="256" customWidth="1"/>
    <col min="4" max="4" width="23.85546875" style="256" customWidth="1"/>
    <col min="5" max="5" width="11.85546875" style="256" customWidth="1"/>
    <col min="6" max="6" width="18.28515625" style="256" customWidth="1"/>
    <col min="7" max="7" width="19.140625" style="256" customWidth="1"/>
    <col min="8" max="8" width="11" style="256" customWidth="1"/>
    <col min="9" max="9" width="11.140625" style="256" customWidth="1"/>
    <col min="10" max="10" width="9.140625" style="256"/>
    <col min="11" max="11" width="13.5703125" style="256" customWidth="1"/>
    <col min="12" max="14" width="9.140625" style="256"/>
    <col min="15" max="15" width="28.140625" style="256" customWidth="1"/>
    <col min="16" max="16" width="21.5703125" style="256" customWidth="1"/>
    <col min="17" max="17" width="19.28515625" style="256" customWidth="1"/>
    <col min="18" max="18" width="21" style="256" customWidth="1"/>
    <col min="19" max="19" width="9.140625" style="256"/>
    <col min="20" max="20" width="18.5703125" style="256" customWidth="1"/>
    <col min="21" max="23" width="9.140625" style="256"/>
    <col min="24" max="24" width="20" style="256" bestFit="1" customWidth="1"/>
    <col min="25" max="25" width="5.7109375" style="256" bestFit="1" customWidth="1"/>
    <col min="26" max="26" width="17" style="256" bestFit="1" customWidth="1"/>
    <col min="27" max="27" width="13.85546875" style="256" bestFit="1" customWidth="1"/>
    <col min="28" max="28" width="5.85546875" style="256" bestFit="1" customWidth="1"/>
    <col min="29" max="16384" width="9.140625" style="256"/>
  </cols>
  <sheetData>
    <row r="1" spans="4:28" ht="15.75" thickBot="1" x14ac:dyDescent="0.3"/>
    <row r="2" spans="4:28" ht="15" customHeight="1" x14ac:dyDescent="0.25">
      <c r="D2" s="369" t="s">
        <v>553</v>
      </c>
      <c r="E2" s="370"/>
      <c r="F2" s="370"/>
      <c r="G2" s="371"/>
    </row>
    <row r="3" spans="4:28" ht="15" customHeight="1" x14ac:dyDescent="0.25">
      <c r="D3" s="372"/>
      <c r="E3" s="373"/>
      <c r="F3" s="373"/>
      <c r="G3" s="374"/>
    </row>
    <row r="4" spans="4:28" ht="15.75" customHeight="1" thickBot="1" x14ac:dyDescent="0.3">
      <c r="D4" s="372"/>
      <c r="E4" s="373"/>
      <c r="F4" s="373"/>
      <c r="G4" s="374"/>
      <c r="X4" s="256">
        <f>COLUMN(X7)</f>
        <v>24</v>
      </c>
      <c r="Y4" s="256">
        <f t="shared" ref="Y4:AB4" si="0">COLUMN(Y7)</f>
        <v>25</v>
      </c>
      <c r="Z4" s="256">
        <f t="shared" si="0"/>
        <v>26</v>
      </c>
      <c r="AA4" s="256">
        <f t="shared" si="0"/>
        <v>27</v>
      </c>
      <c r="AB4" s="256">
        <f t="shared" si="0"/>
        <v>28</v>
      </c>
    </row>
    <row r="5" spans="4:28" ht="30.75" customHeight="1" thickBot="1" x14ac:dyDescent="0.3">
      <c r="D5" s="372"/>
      <c r="E5" s="373"/>
      <c r="F5" s="373"/>
      <c r="G5" s="374"/>
      <c r="O5" s="273" t="s">
        <v>106</v>
      </c>
      <c r="P5" s="312">
        <v>354</v>
      </c>
      <c r="X5" s="366" t="s">
        <v>4</v>
      </c>
      <c r="Y5" s="367"/>
      <c r="Z5" s="367"/>
      <c r="AA5" s="367"/>
      <c r="AB5" s="368"/>
    </row>
    <row r="6" spans="4:28" ht="17.25" customHeight="1" thickBot="1" x14ac:dyDescent="0.3">
      <c r="D6" s="372"/>
      <c r="E6" s="373"/>
      <c r="F6" s="373"/>
      <c r="G6" s="374"/>
      <c r="J6" s="381" t="s">
        <v>267</v>
      </c>
      <c r="K6" s="382"/>
      <c r="L6" s="382"/>
      <c r="M6" s="312">
        <v>12</v>
      </c>
      <c r="X6" s="321" t="s">
        <v>2</v>
      </c>
      <c r="Y6" s="281" t="s">
        <v>1</v>
      </c>
      <c r="Z6" s="281" t="s">
        <v>0</v>
      </c>
      <c r="AA6" s="281" t="s">
        <v>3</v>
      </c>
      <c r="AB6" s="322" t="s">
        <v>19</v>
      </c>
    </row>
    <row r="7" spans="4:28" ht="29.25" customHeight="1" thickBot="1" x14ac:dyDescent="0.3">
      <c r="D7" s="372"/>
      <c r="E7" s="373"/>
      <c r="F7" s="373"/>
      <c r="G7" s="374"/>
      <c r="J7" s="381" t="s">
        <v>268</v>
      </c>
      <c r="K7" s="382"/>
      <c r="L7" s="382"/>
      <c r="M7" s="312">
        <v>1</v>
      </c>
      <c r="O7" s="378" t="s">
        <v>14</v>
      </c>
      <c r="P7" s="379"/>
      <c r="Q7" s="379"/>
      <c r="R7" s="379"/>
      <c r="S7" s="379"/>
      <c r="T7" s="379"/>
      <c r="U7" s="380"/>
      <c r="X7" s="323" t="s">
        <v>371</v>
      </c>
      <c r="Y7" s="282">
        <v>161</v>
      </c>
      <c r="Z7" s="282" t="s">
        <v>18</v>
      </c>
      <c r="AA7" s="282">
        <v>0.13</v>
      </c>
      <c r="AB7" s="324">
        <v>1</v>
      </c>
    </row>
    <row r="8" spans="4:28" ht="15.75" customHeight="1" thickBot="1" x14ac:dyDescent="0.3">
      <c r="D8" s="372"/>
      <c r="E8" s="373"/>
      <c r="F8" s="373"/>
      <c r="G8" s="374"/>
      <c r="O8" s="260"/>
      <c r="P8" s="256" t="s">
        <v>108</v>
      </c>
      <c r="Q8" s="256" t="s">
        <v>109</v>
      </c>
      <c r="R8" s="261" t="s">
        <v>110</v>
      </c>
      <c r="X8" s="323" t="s">
        <v>5</v>
      </c>
      <c r="Y8" s="282">
        <v>132</v>
      </c>
      <c r="Z8" s="282" t="s">
        <v>17</v>
      </c>
      <c r="AA8" s="282">
        <v>0.2</v>
      </c>
      <c r="AB8" s="324">
        <v>1</v>
      </c>
    </row>
    <row r="9" spans="4:28" ht="30.75" customHeight="1" thickBot="1" x14ac:dyDescent="0.3">
      <c r="D9" s="372"/>
      <c r="E9" s="373"/>
      <c r="F9" s="373"/>
      <c r="G9" s="374"/>
      <c r="O9" s="260" t="s">
        <v>107</v>
      </c>
      <c r="P9" s="269">
        <v>16</v>
      </c>
      <c r="Q9" s="269">
        <v>320</v>
      </c>
      <c r="R9" s="280">
        <v>320</v>
      </c>
      <c r="T9" s="273" t="s">
        <v>118</v>
      </c>
      <c r="U9" s="274">
        <v>10</v>
      </c>
      <c r="X9" s="323" t="s">
        <v>6</v>
      </c>
      <c r="Y9" s="282">
        <v>3</v>
      </c>
      <c r="Z9" s="282" t="s">
        <v>17</v>
      </c>
      <c r="AA9" s="282">
        <v>0.05</v>
      </c>
      <c r="AB9" s="324">
        <v>1</v>
      </c>
    </row>
    <row r="10" spans="4:28" ht="15.75" customHeight="1" thickBot="1" x14ac:dyDescent="0.3">
      <c r="D10" s="372"/>
      <c r="E10" s="373"/>
      <c r="F10" s="373"/>
      <c r="G10" s="374"/>
      <c r="O10" s="260" t="s">
        <v>111</v>
      </c>
      <c r="P10" s="269">
        <v>20</v>
      </c>
      <c r="Q10" s="269">
        <v>60</v>
      </c>
      <c r="R10" s="280">
        <v>220</v>
      </c>
      <c r="T10" s="277" t="s">
        <v>119</v>
      </c>
      <c r="U10" s="274">
        <v>400</v>
      </c>
      <c r="X10" s="323" t="s">
        <v>7</v>
      </c>
      <c r="Y10" s="282">
        <v>52</v>
      </c>
      <c r="Z10" s="282" t="s">
        <v>17</v>
      </c>
      <c r="AA10" s="282">
        <v>0.2</v>
      </c>
      <c r="AB10" s="324">
        <v>1</v>
      </c>
    </row>
    <row r="11" spans="4:28" ht="15.75" customHeight="1" thickBot="1" x14ac:dyDescent="0.3">
      <c r="D11" s="372"/>
      <c r="E11" s="373"/>
      <c r="F11" s="373"/>
      <c r="G11" s="374"/>
      <c r="O11" s="263" t="s">
        <v>112</v>
      </c>
      <c r="P11" s="278">
        <v>30</v>
      </c>
      <c r="Q11" s="278">
        <v>80</v>
      </c>
      <c r="R11" s="279">
        <v>320</v>
      </c>
      <c r="S11" s="258" t="s">
        <v>114</v>
      </c>
      <c r="T11" s="276">
        <v>10</v>
      </c>
      <c r="U11" s="274">
        <v>10</v>
      </c>
      <c r="X11" s="323" t="s">
        <v>8</v>
      </c>
      <c r="Y11" s="282">
        <v>8</v>
      </c>
      <c r="Z11" s="282" t="s">
        <v>44</v>
      </c>
      <c r="AA11" s="282">
        <v>0.13</v>
      </c>
      <c r="AB11" s="324">
        <v>1</v>
      </c>
    </row>
    <row r="12" spans="4:28" ht="15.75" thickBot="1" x14ac:dyDescent="0.3">
      <c r="D12" s="372"/>
      <c r="E12" s="373"/>
      <c r="F12" s="373"/>
      <c r="G12" s="374"/>
      <c r="O12" s="277" t="s">
        <v>115</v>
      </c>
      <c r="P12" s="275">
        <v>20</v>
      </c>
      <c r="Q12" s="275">
        <v>320</v>
      </c>
      <c r="R12" s="275">
        <v>320</v>
      </c>
      <c r="S12" s="340">
        <v>60</v>
      </c>
      <c r="T12" s="312">
        <v>60</v>
      </c>
      <c r="X12" s="323" t="s">
        <v>9</v>
      </c>
      <c r="Y12" s="282">
        <v>9</v>
      </c>
      <c r="Z12" s="282" t="s">
        <v>44</v>
      </c>
      <c r="AA12" s="282">
        <v>0.13</v>
      </c>
      <c r="AB12" s="324">
        <v>1</v>
      </c>
    </row>
    <row r="13" spans="4:28" x14ac:dyDescent="0.25">
      <c r="D13" s="372"/>
      <c r="E13" s="373"/>
      <c r="F13" s="373"/>
      <c r="G13" s="374"/>
      <c r="O13" s="257"/>
      <c r="P13" s="258" t="s">
        <v>77</v>
      </c>
      <c r="Q13" s="258" t="s">
        <v>78</v>
      </c>
      <c r="R13" s="258" t="s">
        <v>79</v>
      </c>
      <c r="S13" s="258" t="s">
        <v>80</v>
      </c>
      <c r="T13" s="259" t="s">
        <v>81</v>
      </c>
      <c r="X13" s="323" t="s">
        <v>10</v>
      </c>
      <c r="Y13" s="282">
        <v>72</v>
      </c>
      <c r="Z13" s="282" t="s">
        <v>17</v>
      </c>
      <c r="AA13" s="282">
        <v>0.2</v>
      </c>
      <c r="AB13" s="324">
        <v>1</v>
      </c>
    </row>
    <row r="14" spans="4:28" ht="15.75" thickBot="1" x14ac:dyDescent="0.3">
      <c r="D14" s="372"/>
      <c r="E14" s="373"/>
      <c r="F14" s="373"/>
      <c r="G14" s="374"/>
      <c r="O14" s="263" t="s">
        <v>113</v>
      </c>
      <c r="P14" s="278">
        <v>300</v>
      </c>
      <c r="Q14" s="278">
        <v>300</v>
      </c>
      <c r="R14" s="278">
        <v>11</v>
      </c>
      <c r="S14" s="278">
        <v>19</v>
      </c>
      <c r="T14" s="280">
        <v>27</v>
      </c>
      <c r="X14" s="323" t="s">
        <v>11</v>
      </c>
      <c r="Y14" s="282">
        <v>114</v>
      </c>
      <c r="Z14" s="282" t="s">
        <v>17</v>
      </c>
      <c r="AA14" s="282">
        <v>0.2</v>
      </c>
      <c r="AB14" s="324">
        <v>1</v>
      </c>
    </row>
    <row r="15" spans="4:28" ht="30.75" thickBot="1" x14ac:dyDescent="0.3">
      <c r="D15" s="372"/>
      <c r="E15" s="373"/>
      <c r="F15" s="373"/>
      <c r="G15" s="374"/>
      <c r="T15" s="273" t="s">
        <v>120</v>
      </c>
      <c r="U15" s="274">
        <v>0.3</v>
      </c>
      <c r="X15" s="323" t="s">
        <v>12</v>
      </c>
      <c r="Y15" s="282">
        <v>114</v>
      </c>
      <c r="Z15" s="282" t="s">
        <v>18</v>
      </c>
      <c r="AA15" s="282">
        <v>0.09</v>
      </c>
      <c r="AB15" s="324">
        <v>1</v>
      </c>
    </row>
    <row r="16" spans="4:28" ht="47.25" thickBot="1" x14ac:dyDescent="0.3">
      <c r="D16" s="375"/>
      <c r="E16" s="376"/>
      <c r="F16" s="376"/>
      <c r="G16" s="377"/>
      <c r="J16" s="385" t="s">
        <v>552</v>
      </c>
      <c r="K16" s="386"/>
      <c r="L16" s="386"/>
      <c r="M16" s="386"/>
      <c r="N16" s="386"/>
      <c r="O16" s="386"/>
      <c r="P16" s="386"/>
      <c r="Q16" s="386"/>
      <c r="R16" s="387"/>
      <c r="T16" s="273" t="s">
        <v>125</v>
      </c>
      <c r="U16" s="274">
        <v>20</v>
      </c>
      <c r="X16" s="323" t="s">
        <v>13</v>
      </c>
      <c r="Y16" s="282">
        <v>250</v>
      </c>
      <c r="Z16" s="282" t="s">
        <v>17</v>
      </c>
      <c r="AA16" s="282">
        <v>0.5</v>
      </c>
      <c r="AB16" s="324">
        <v>1</v>
      </c>
    </row>
    <row r="17" spans="4:28" ht="31.5" customHeight="1" x14ac:dyDescent="0.25">
      <c r="J17" s="358" t="s">
        <v>266</v>
      </c>
      <c r="K17" s="359"/>
      <c r="L17" s="360"/>
      <c r="R17" s="261"/>
      <c r="X17" s="323" t="s">
        <v>14</v>
      </c>
      <c r="Y17" s="282">
        <v>252</v>
      </c>
      <c r="Z17" s="282" t="s">
        <v>17</v>
      </c>
      <c r="AA17" s="282">
        <v>0.13</v>
      </c>
      <c r="AB17" s="324">
        <v>1</v>
      </c>
    </row>
    <row r="18" spans="4:28" x14ac:dyDescent="0.25">
      <c r="D18" s="266" t="s">
        <v>526</v>
      </c>
      <c r="E18" s="267">
        <v>12000</v>
      </c>
      <c r="J18" s="361" t="str">
        <f>IF('Obliczenia i dane'!S47&lt;Parametry!Q37,"Oj spoiny do poprawy","Jest git")</f>
        <v>Jest git</v>
      </c>
      <c r="K18" s="362"/>
      <c r="L18" s="363"/>
      <c r="R18" s="261"/>
      <c r="X18" s="323" t="s">
        <v>15</v>
      </c>
      <c r="Y18" s="282">
        <v>161</v>
      </c>
      <c r="Z18" s="282" t="s">
        <v>17</v>
      </c>
      <c r="AA18" s="282">
        <v>0.13</v>
      </c>
      <c r="AB18" s="324">
        <v>1</v>
      </c>
    </row>
    <row r="19" spans="4:28" ht="15.75" thickBot="1" x14ac:dyDescent="0.3">
      <c r="D19" s="266" t="s">
        <v>527</v>
      </c>
      <c r="E19" s="267">
        <v>6000</v>
      </c>
      <c r="J19" s="263">
        <f>'Obliczenia i dane'!S47</f>
        <v>134.85861834511741</v>
      </c>
      <c r="K19" s="264" t="str">
        <f>IF('Obliczenia i dane'!S47&lt;Parametry!Q37,"&lt;","&gt;")</f>
        <v>&gt;</v>
      </c>
      <c r="L19" s="265">
        <f>Q37</f>
        <v>45</v>
      </c>
      <c r="R19" s="261"/>
      <c r="X19" s="323" t="s">
        <v>16</v>
      </c>
      <c r="Y19" s="282">
        <v>170</v>
      </c>
      <c r="Z19" s="282" t="s">
        <v>17</v>
      </c>
      <c r="AA19" s="282">
        <v>0.09</v>
      </c>
      <c r="AB19" s="324">
        <v>1</v>
      </c>
    </row>
    <row r="20" spans="4:28" ht="15.75" thickBot="1" x14ac:dyDescent="0.3">
      <c r="J20" s="260"/>
      <c r="R20" s="261"/>
      <c r="X20" s="323" t="s">
        <v>92</v>
      </c>
      <c r="Y20" s="282">
        <v>8</v>
      </c>
      <c r="Z20" s="282" t="s">
        <v>18</v>
      </c>
      <c r="AA20" s="282">
        <v>0.13</v>
      </c>
      <c r="AB20" s="324">
        <v>1</v>
      </c>
    </row>
    <row r="21" spans="4:28" ht="30.75" thickBot="1" x14ac:dyDescent="0.3">
      <c r="D21" s="364" t="s">
        <v>45</v>
      </c>
      <c r="E21" s="364"/>
      <c r="G21" s="273" t="s">
        <v>127</v>
      </c>
      <c r="H21" s="274">
        <v>0.5</v>
      </c>
      <c r="J21" s="260"/>
      <c r="R21" s="261"/>
      <c r="X21" s="323" t="s">
        <v>274</v>
      </c>
      <c r="Y21" s="282">
        <v>132</v>
      </c>
      <c r="Z21" s="282" t="s">
        <v>18</v>
      </c>
      <c r="AA21" s="282">
        <v>0.13</v>
      </c>
      <c r="AB21" s="324">
        <v>1</v>
      </c>
    </row>
    <row r="22" spans="4:28" ht="30.75" thickBot="1" x14ac:dyDescent="0.3">
      <c r="D22" s="256" t="s">
        <v>55</v>
      </c>
      <c r="E22" s="267">
        <v>30000</v>
      </c>
      <c r="G22" s="273" t="s">
        <v>130</v>
      </c>
      <c r="H22" s="274">
        <v>0.5</v>
      </c>
      <c r="J22" s="260"/>
      <c r="R22" s="261"/>
      <c r="X22" s="323" t="s">
        <v>372</v>
      </c>
      <c r="Y22" s="282">
        <v>161</v>
      </c>
      <c r="Z22" s="282" t="s">
        <v>44</v>
      </c>
      <c r="AA22" s="282">
        <v>0.13</v>
      </c>
      <c r="AB22" s="324">
        <v>1</v>
      </c>
    </row>
    <row r="23" spans="4:28" ht="45.75" thickBot="1" x14ac:dyDescent="0.3">
      <c r="D23" s="256" t="s">
        <v>46</v>
      </c>
      <c r="E23" s="267">
        <v>7</v>
      </c>
      <c r="G23" s="273" t="s">
        <v>429</v>
      </c>
      <c r="H23" s="274">
        <v>450</v>
      </c>
      <c r="J23" s="260"/>
      <c r="R23" s="261"/>
      <c r="X23" s="323" t="s">
        <v>427</v>
      </c>
      <c r="Y23" s="282">
        <v>252</v>
      </c>
      <c r="Z23" s="282" t="s">
        <v>18</v>
      </c>
      <c r="AA23" s="282">
        <v>0.13</v>
      </c>
      <c r="AB23" s="324">
        <v>1</v>
      </c>
    </row>
    <row r="24" spans="4:28" ht="15.75" thickBot="1" x14ac:dyDescent="0.3">
      <c r="D24" s="256" t="s">
        <v>56</v>
      </c>
      <c r="E24" s="267">
        <v>3000</v>
      </c>
      <c r="J24" s="260"/>
      <c r="R24" s="261"/>
      <c r="X24" s="325" t="s">
        <v>428</v>
      </c>
      <c r="Y24" s="326">
        <v>252</v>
      </c>
      <c r="Z24" s="326" t="s">
        <v>44</v>
      </c>
      <c r="AA24" s="326">
        <v>0.13</v>
      </c>
      <c r="AB24" s="327">
        <v>1</v>
      </c>
    </row>
    <row r="25" spans="4:28" x14ac:dyDescent="0.25">
      <c r="D25" s="256" t="s">
        <v>57</v>
      </c>
      <c r="E25" s="267">
        <v>3000</v>
      </c>
      <c r="J25" s="260"/>
      <c r="R25" s="261"/>
    </row>
    <row r="26" spans="4:28" ht="15.75" thickBot="1" x14ac:dyDescent="0.3">
      <c r="D26" s="256" t="s">
        <v>47</v>
      </c>
      <c r="E26" s="267" t="s">
        <v>48</v>
      </c>
      <c r="J26" s="263"/>
      <c r="K26" s="264"/>
      <c r="L26" s="264"/>
      <c r="M26" s="264"/>
      <c r="N26" s="264"/>
      <c r="O26" s="264"/>
      <c r="P26" s="264"/>
      <c r="Q26" s="264"/>
      <c r="R26" s="265"/>
    </row>
    <row r="27" spans="4:28" x14ac:dyDescent="0.25">
      <c r="D27" s="364" t="s">
        <v>11</v>
      </c>
      <c r="E27" s="364"/>
      <c r="F27" s="364"/>
      <c r="G27" s="364"/>
      <c r="H27" s="364"/>
      <c r="I27" s="364"/>
      <c r="J27" s="364"/>
    </row>
    <row r="28" spans="4:28" ht="15.75" thickBot="1" x14ac:dyDescent="0.3">
      <c r="F28" s="283" t="s">
        <v>77</v>
      </c>
      <c r="G28" s="283" t="s">
        <v>78</v>
      </c>
      <c r="H28" s="283" t="s">
        <v>79</v>
      </c>
      <c r="I28" s="283" t="s">
        <v>80</v>
      </c>
      <c r="J28" s="283" t="s">
        <v>81</v>
      </c>
    </row>
    <row r="29" spans="4:28" ht="45" x14ac:dyDescent="0.25">
      <c r="D29" s="266" t="s">
        <v>53</v>
      </c>
      <c r="E29" s="267" t="s">
        <v>385</v>
      </c>
      <c r="F29" s="256">
        <f>VLOOKUP($E$29,Przekroje!$M$22:$R$31,2,FALSE)</f>
        <v>240</v>
      </c>
      <c r="G29" s="256">
        <f>VLOOKUP($E$29,Przekroje!$M$22:$R$31,3,FALSE)</f>
        <v>120</v>
      </c>
      <c r="H29" s="256">
        <f>VLOOKUP($E$29,Przekroje!$M$22:$R$31,4,FALSE)</f>
        <v>6.2</v>
      </c>
      <c r="I29" s="256">
        <f>VLOOKUP($E$29,Przekroje!$M$22:$R$31,5,FALSE)</f>
        <v>9.8000000000000007</v>
      </c>
      <c r="J29" s="256">
        <f>VLOOKUP($E$29,Przekroje!$M$22:$R$31,6,FALSE)</f>
        <v>15</v>
      </c>
      <c r="O29" s="255" t="s">
        <v>82</v>
      </c>
      <c r="P29" s="286" t="s">
        <v>123</v>
      </c>
      <c r="Q29" s="287" t="s">
        <v>91</v>
      </c>
    </row>
    <row r="30" spans="4:28" x14ac:dyDescent="0.25">
      <c r="D30" s="266" t="s">
        <v>49</v>
      </c>
      <c r="E30" s="267" t="s">
        <v>72</v>
      </c>
      <c r="F30" s="256">
        <f>VLOOKUP($E$30,Przekroje!$E$9:$J$16,2,FALSE)</f>
        <v>152</v>
      </c>
      <c r="G30" s="256">
        <f>VLOOKUP($E$30,Przekroje!$E$9:$J$16,3,FALSE)</f>
        <v>160</v>
      </c>
      <c r="H30" s="256">
        <f>VLOOKUP($E$30,Przekroje!$E$9:$J$16,4,FALSE)</f>
        <v>6</v>
      </c>
      <c r="I30" s="256">
        <f>VLOOKUP($E$30,Przekroje!$E$9:$J$16,5,FALSE)</f>
        <v>9</v>
      </c>
      <c r="J30" s="256">
        <f>VLOOKUP($E$30,Przekroje!$E$9:$J$16,6,FALSE)</f>
        <v>15</v>
      </c>
      <c r="O30" s="288">
        <v>0.5</v>
      </c>
      <c r="P30" s="269">
        <v>0.4</v>
      </c>
      <c r="Q30" s="280">
        <v>0.3</v>
      </c>
    </row>
    <row r="31" spans="4:28" ht="15.75" thickBot="1" x14ac:dyDescent="0.3">
      <c r="D31" s="266" t="s">
        <v>50</v>
      </c>
      <c r="E31" s="267" t="s">
        <v>72</v>
      </c>
      <c r="F31" s="256">
        <f>VLOOKUP($E$31,Przekroje!$E$9:$J$16,2,FALSE)</f>
        <v>152</v>
      </c>
      <c r="G31" s="256">
        <f>VLOOKUP($E$31,Przekroje!$E$9:$J$16,3,FALSE)</f>
        <v>160</v>
      </c>
      <c r="H31" s="256">
        <f>VLOOKUP($E$31,Przekroje!$E$9:$J$16,4,FALSE)</f>
        <v>6</v>
      </c>
      <c r="I31" s="256">
        <f>VLOOKUP($E$31,Przekroje!$E$9:$J$16,5,FALSE)</f>
        <v>9</v>
      </c>
      <c r="J31" s="256">
        <f>VLOOKUP($E$31,Przekroje!$E$9:$J$16,6,FALSE)</f>
        <v>15</v>
      </c>
      <c r="O31" s="289">
        <v>0.75</v>
      </c>
      <c r="P31" s="278">
        <v>0.4</v>
      </c>
      <c r="Q31" s="279">
        <v>0.3</v>
      </c>
    </row>
    <row r="32" spans="4:28" ht="42" customHeight="1" thickBot="1" x14ac:dyDescent="0.3">
      <c r="F32" s="302" t="s">
        <v>77</v>
      </c>
      <c r="G32" s="303" t="s">
        <v>165</v>
      </c>
      <c r="H32" s="303" t="s">
        <v>166</v>
      </c>
      <c r="I32" s="303" t="s">
        <v>167</v>
      </c>
      <c r="J32" s="303" t="s">
        <v>172</v>
      </c>
      <c r="K32" s="330" t="s">
        <v>177</v>
      </c>
      <c r="O32" s="285" t="s">
        <v>171</v>
      </c>
      <c r="P32" s="294" t="s">
        <v>309</v>
      </c>
      <c r="Q32" s="294" t="s">
        <v>175</v>
      </c>
      <c r="R32" s="294" t="s">
        <v>201</v>
      </c>
    </row>
    <row r="33" spans="4:21" ht="15.75" thickBot="1" x14ac:dyDescent="0.3">
      <c r="D33" s="270" t="s">
        <v>51</v>
      </c>
      <c r="E33" s="331" t="s">
        <v>136</v>
      </c>
      <c r="F33" s="257">
        <f>VLOOKUP(E33,Przekroje!$E$22:$J$53,2,FALSE)</f>
        <v>45</v>
      </c>
      <c r="G33" s="258">
        <f>VLOOKUP(E33,Przekroje!$E$22:$J$53,3,FALSE)</f>
        <v>5</v>
      </c>
      <c r="H33" s="258">
        <f>VLOOKUP(E33,Przekroje!$E$22:$J$53,4,FALSE)</f>
        <v>7</v>
      </c>
      <c r="I33" s="258">
        <f>VLOOKUP(E33,Przekroje!$E$22:$J$53,5,FALSE)</f>
        <v>3.5</v>
      </c>
      <c r="J33" s="258">
        <f>VLOOKUP(E33,Przekroje!$E$22:$J$53,6,FALSE)</f>
        <v>12.8</v>
      </c>
      <c r="K33" s="332">
        <v>4</v>
      </c>
      <c r="O33" s="284">
        <v>20</v>
      </c>
      <c r="P33" s="284">
        <v>0.5</v>
      </c>
      <c r="Q33" s="284">
        <v>0.3</v>
      </c>
      <c r="R33" s="310">
        <v>0.5</v>
      </c>
    </row>
    <row r="34" spans="4:21" x14ac:dyDescent="0.25">
      <c r="D34" s="271" t="s">
        <v>52</v>
      </c>
      <c r="E34" s="267" t="s">
        <v>551</v>
      </c>
      <c r="F34" s="260">
        <f>VLOOKUP(E34,Przekroje!$E$22:$J$53,2,FALSE)</f>
        <v>75</v>
      </c>
      <c r="G34" s="256">
        <f>VLOOKUP(E34,Przekroje!$E$22:$J$53,3,FALSE)</f>
        <v>7</v>
      </c>
      <c r="H34" s="256">
        <f>VLOOKUP(E34,Przekroje!$E$22:$J$53,4,FALSE)</f>
        <v>10</v>
      </c>
      <c r="I34" s="256">
        <f>VLOOKUP(E34,Przekroje!$E$22:$J$53,5,FALSE)</f>
        <v>5</v>
      </c>
      <c r="J34" s="256">
        <f>VLOOKUP(E34,Przekroje!$E$22:$J$53,6,FALSE)</f>
        <v>20.9</v>
      </c>
      <c r="K34" s="298">
        <v>4</v>
      </c>
      <c r="O34" s="257" t="s">
        <v>176</v>
      </c>
      <c r="P34" s="383" t="s">
        <v>188</v>
      </c>
      <c r="Q34" s="384"/>
      <c r="R34" s="383" t="s">
        <v>239</v>
      </c>
      <c r="S34" s="384"/>
      <c r="T34" s="383" t="s">
        <v>262</v>
      </c>
      <c r="U34" s="384"/>
    </row>
    <row r="35" spans="4:21" ht="15.75" thickBot="1" x14ac:dyDescent="0.3">
      <c r="D35" s="272" t="s">
        <v>169</v>
      </c>
      <c r="E35" s="333" t="s">
        <v>136</v>
      </c>
      <c r="F35" s="263">
        <f>VLOOKUP(E35,Przekroje!$E$22:$J$53,2,FALSE)</f>
        <v>45</v>
      </c>
      <c r="G35" s="264">
        <f>VLOOKUP(E35,Przekroje!$E$22:$J$53,3,FALSE)</f>
        <v>5</v>
      </c>
      <c r="H35" s="264">
        <f>VLOOKUP(E35,Przekroje!$E$22:$J$53,4,FALSE)</f>
        <v>7</v>
      </c>
      <c r="I35" s="264">
        <f>VLOOKUP(E35,Przekroje!$E$22:$J$53,5,FALSE)</f>
        <v>3.5</v>
      </c>
      <c r="J35" s="264">
        <f>VLOOKUP(E35,Przekroje!$E$22:$J$53,6,FALSE)</f>
        <v>12.8</v>
      </c>
      <c r="K35" s="265"/>
      <c r="O35" s="297">
        <v>6</v>
      </c>
      <c r="P35" s="260" t="s">
        <v>189</v>
      </c>
      <c r="Q35" s="306">
        <f>(Q37*Q38*(F33-J33))/(Q36*J33)</f>
        <v>84.90234375</v>
      </c>
      <c r="R35" s="260" t="s">
        <v>189</v>
      </c>
      <c r="S35" s="306">
        <f>(S37*S38*(F34-J34))/(S36*J34)</f>
        <v>145.60406698564594</v>
      </c>
      <c r="T35" s="260" t="s">
        <v>189</v>
      </c>
      <c r="U35" s="306">
        <f>(U37*U38*(F34-J34))/(U36*J34)</f>
        <v>87.362440191387563</v>
      </c>
    </row>
    <row r="36" spans="4:21" ht="15.75" thickBot="1" x14ac:dyDescent="0.3">
      <c r="D36" s="307" t="s">
        <v>401</v>
      </c>
      <c r="E36" s="275" t="str">
        <f>VLOOKUP($E$29,Przekroje!$M$22:$X$31,7,FALSE)</f>
        <v>L150x75x10</v>
      </c>
      <c r="F36" s="277">
        <f>VLOOKUP($E$29,Przekroje!$M$22:$X$32,8,FALSE)</f>
        <v>150</v>
      </c>
      <c r="G36" s="320">
        <f>VLOOKUP($E$29,Przekroje!$M$22:$X$31,9,FALSE)</f>
        <v>75</v>
      </c>
      <c r="H36" s="320">
        <f>VLOOKUP($E$29,Przekroje!$M$22:$X$31,10,FALSE)</f>
        <v>10</v>
      </c>
      <c r="I36" s="320">
        <f>VLOOKUP($E$29,Przekroje!$M$22:$X$31,11,FALSE)</f>
        <v>11</v>
      </c>
      <c r="J36" s="296">
        <f>VLOOKUP($E$29,Przekroje!$M$22:$X$31,12,FALSE)</f>
        <v>5.5</v>
      </c>
      <c r="O36" s="295" t="s">
        <v>269</v>
      </c>
      <c r="P36" s="260" t="s">
        <v>190</v>
      </c>
      <c r="Q36" s="298">
        <f>4</f>
        <v>4</v>
      </c>
      <c r="R36" s="260" t="s">
        <v>190</v>
      </c>
      <c r="S36" s="298">
        <f>4</f>
        <v>4</v>
      </c>
      <c r="T36" s="260" t="s">
        <v>190</v>
      </c>
      <c r="U36" s="298">
        <v>4</v>
      </c>
    </row>
    <row r="37" spans="4:21" ht="15.75" thickBot="1" x14ac:dyDescent="0.3">
      <c r="F37" s="319" t="s">
        <v>77</v>
      </c>
      <c r="G37" s="328" t="s">
        <v>330</v>
      </c>
      <c r="H37" s="328" t="s">
        <v>165</v>
      </c>
      <c r="I37" s="328" t="s">
        <v>166</v>
      </c>
      <c r="J37" s="329" t="s">
        <v>167</v>
      </c>
      <c r="O37" s="284">
        <v>100</v>
      </c>
      <c r="P37" s="260" t="s">
        <v>191</v>
      </c>
      <c r="Q37" s="280">
        <f>F33</f>
        <v>45</v>
      </c>
      <c r="R37" s="260" t="s">
        <v>191</v>
      </c>
      <c r="S37" s="280">
        <f>F34</f>
        <v>75</v>
      </c>
      <c r="T37" s="260" t="s">
        <v>191</v>
      </c>
      <c r="U37" s="280">
        <f>F35</f>
        <v>45</v>
      </c>
    </row>
    <row r="38" spans="4:21" ht="15.75" thickBot="1" x14ac:dyDescent="0.3">
      <c r="D38" s="365" t="s">
        <v>54</v>
      </c>
      <c r="E38" s="365"/>
      <c r="O38" s="295" t="s">
        <v>300</v>
      </c>
      <c r="P38" s="264" t="s">
        <v>192</v>
      </c>
      <c r="Q38" s="299">
        <v>3</v>
      </c>
      <c r="R38" s="263" t="s">
        <v>192</v>
      </c>
      <c r="S38" s="299">
        <v>3</v>
      </c>
      <c r="T38" s="263" t="s">
        <v>192</v>
      </c>
      <c r="U38" s="299">
        <v>3</v>
      </c>
    </row>
    <row r="39" spans="4:21" ht="45.75" thickBot="1" x14ac:dyDescent="0.3">
      <c r="D39" s="268" t="s">
        <v>58</v>
      </c>
      <c r="E39" s="269">
        <v>0.5</v>
      </c>
      <c r="O39" s="284">
        <v>10</v>
      </c>
      <c r="P39" s="294" t="s">
        <v>344</v>
      </c>
      <c r="Q39" s="294" t="s">
        <v>370</v>
      </c>
      <c r="R39" s="389" t="s">
        <v>406</v>
      </c>
      <c r="S39" s="390"/>
      <c r="T39" s="294" t="s">
        <v>407</v>
      </c>
    </row>
    <row r="40" spans="4:21" ht="30.75" thickBot="1" x14ac:dyDescent="0.3">
      <c r="D40" s="268" t="s">
        <v>59</v>
      </c>
      <c r="E40" s="269">
        <v>0.12</v>
      </c>
      <c r="O40" s="295" t="s">
        <v>303</v>
      </c>
      <c r="P40" s="284">
        <v>0.27</v>
      </c>
      <c r="Q40" s="284">
        <v>40</v>
      </c>
      <c r="R40" s="289">
        <v>140</v>
      </c>
      <c r="S40" s="279">
        <v>160</v>
      </c>
      <c r="T40" s="284">
        <v>0.25</v>
      </c>
    </row>
    <row r="41" spans="4:21" ht="15.75" thickBot="1" x14ac:dyDescent="0.3">
      <c r="O41" s="284">
        <v>0.5</v>
      </c>
    </row>
    <row r="42" spans="4:21" x14ac:dyDescent="0.25">
      <c r="F42" s="283" t="s">
        <v>77</v>
      </c>
      <c r="G42" s="283" t="s">
        <v>330</v>
      </c>
      <c r="H42" s="283" t="s">
        <v>165</v>
      </c>
      <c r="I42" s="283" t="s">
        <v>166</v>
      </c>
      <c r="J42" s="283" t="s">
        <v>167</v>
      </c>
    </row>
    <row r="43" spans="4:21" x14ac:dyDescent="0.25">
      <c r="D43" s="266" t="s">
        <v>329</v>
      </c>
      <c r="E43" s="269" t="s">
        <v>408</v>
      </c>
      <c r="F43" s="256">
        <f>VLOOKUP($E$43,Przekroje!$M$38:$R$45,2,FALSE)</f>
        <v>150</v>
      </c>
      <c r="G43" s="256">
        <f>VLOOKUP($E$43,Przekroje!$M$38:$R$45,3,FALSE)</f>
        <v>90</v>
      </c>
      <c r="H43" s="256">
        <f>VLOOKUP($E$43,Przekroje!$M$38:$R$45,4,FALSE)</f>
        <v>10</v>
      </c>
      <c r="I43" s="256">
        <f>VLOOKUP($E$43,Przekroje!$M$38:$R$45,5,FALSE)</f>
        <v>12</v>
      </c>
      <c r="J43" s="256">
        <f>VLOOKUP($E$43,Przekroje!$M$38:$R$45,6,FALSE)</f>
        <v>6</v>
      </c>
    </row>
    <row r="47" spans="4:21" ht="15.75" thickBot="1" x14ac:dyDescent="0.3">
      <c r="D47" s="388" t="s">
        <v>430</v>
      </c>
      <c r="E47" s="388"/>
      <c r="F47" s="388"/>
      <c r="G47" s="388"/>
      <c r="H47" s="388"/>
      <c r="I47" s="388"/>
    </row>
    <row r="48" spans="4:21" x14ac:dyDescent="0.25">
      <c r="G48" s="391" t="s">
        <v>464</v>
      </c>
      <c r="H48" s="392"/>
      <c r="I48" s="393"/>
    </row>
    <row r="49" spans="4:9" x14ac:dyDescent="0.25">
      <c r="D49" s="256" t="s">
        <v>431</v>
      </c>
      <c r="E49" s="269">
        <v>20</v>
      </c>
      <c r="F49" s="269">
        <v>20</v>
      </c>
      <c r="G49" s="305" t="s">
        <v>465</v>
      </c>
      <c r="H49" s="283" t="s">
        <v>466</v>
      </c>
      <c r="I49" s="306" t="s">
        <v>467</v>
      </c>
    </row>
    <row r="50" spans="4:9" ht="30.75" thickBot="1" x14ac:dyDescent="0.3">
      <c r="D50" s="254" t="s">
        <v>432</v>
      </c>
      <c r="E50" s="267">
        <v>100</v>
      </c>
      <c r="G50" s="319">
        <f>'Obliczenia i dane'!X215</f>
        <v>30</v>
      </c>
      <c r="H50" s="328">
        <f>'Obliczenia i dane'!Y216+'Obliczenia i dane'!Z216</f>
        <v>40</v>
      </c>
      <c r="I50" s="329">
        <f>G30-2*E59</f>
        <v>150</v>
      </c>
    </row>
    <row r="51" spans="4:9" ht="30.75" thickBot="1" x14ac:dyDescent="0.3">
      <c r="D51" s="254" t="s">
        <v>433</v>
      </c>
      <c r="E51" s="269">
        <v>10</v>
      </c>
      <c r="G51" s="307" t="s">
        <v>473</v>
      </c>
      <c r="H51" s="354">
        <f>'Obliczenia i dane'!N404-'Obliczenia i dane'!N403</f>
        <v>140</v>
      </c>
    </row>
    <row r="52" spans="4:9" ht="30" x14ac:dyDescent="0.25">
      <c r="D52" s="254" t="s">
        <v>434</v>
      </c>
      <c r="E52" s="267">
        <v>1200</v>
      </c>
    </row>
    <row r="53" spans="4:9" ht="45" x14ac:dyDescent="0.25">
      <c r="D53" s="254" t="s">
        <v>435</v>
      </c>
      <c r="E53" s="269">
        <v>2</v>
      </c>
    </row>
    <row r="54" spans="4:9" ht="30" x14ac:dyDescent="0.25">
      <c r="D54" s="254" t="s">
        <v>436</v>
      </c>
      <c r="E54" s="269">
        <v>50</v>
      </c>
    </row>
    <row r="55" spans="4:9" ht="30" x14ac:dyDescent="0.25">
      <c r="D55" s="254" t="s">
        <v>438</v>
      </c>
      <c r="E55" s="269">
        <v>0.3</v>
      </c>
    </row>
    <row r="56" spans="4:9" ht="30" x14ac:dyDescent="0.25">
      <c r="D56" s="254" t="s">
        <v>451</v>
      </c>
      <c r="E56" s="269">
        <v>100</v>
      </c>
    </row>
    <row r="57" spans="4:9" ht="30" x14ac:dyDescent="0.25">
      <c r="D57" s="254" t="s">
        <v>462</v>
      </c>
      <c r="E57" s="269">
        <v>350</v>
      </c>
    </row>
    <row r="58" spans="4:9" ht="30" x14ac:dyDescent="0.25">
      <c r="D58" s="254" t="s">
        <v>463</v>
      </c>
      <c r="E58" s="269">
        <v>0.2</v>
      </c>
    </row>
    <row r="59" spans="4:9" ht="30" x14ac:dyDescent="0.25">
      <c r="D59" s="254" t="s">
        <v>468</v>
      </c>
      <c r="E59" s="269">
        <v>5</v>
      </c>
    </row>
    <row r="60" spans="4:9" ht="45" x14ac:dyDescent="0.25">
      <c r="D60" s="254" t="s">
        <v>471</v>
      </c>
      <c r="E60" s="269">
        <v>5</v>
      </c>
    </row>
    <row r="61" spans="4:9" ht="30" x14ac:dyDescent="0.25">
      <c r="D61" s="254" t="s">
        <v>474</v>
      </c>
      <c r="E61" s="269">
        <v>9</v>
      </c>
    </row>
    <row r="62" spans="4:9" ht="30" x14ac:dyDescent="0.25">
      <c r="D62" s="254" t="s">
        <v>487</v>
      </c>
      <c r="E62" s="269">
        <v>14</v>
      </c>
    </row>
    <row r="63" spans="4:9" ht="30" x14ac:dyDescent="0.25">
      <c r="D63" s="254" t="s">
        <v>480</v>
      </c>
      <c r="E63" s="269">
        <v>400</v>
      </c>
    </row>
    <row r="64" spans="4:9" x14ac:dyDescent="0.25">
      <c r="D64" s="388" t="s">
        <v>486</v>
      </c>
      <c r="E64" s="388"/>
    </row>
    <row r="65" spans="4:5" ht="30" x14ac:dyDescent="0.25">
      <c r="D65" s="254" t="s">
        <v>487</v>
      </c>
      <c r="E65" s="269">
        <v>16</v>
      </c>
    </row>
    <row r="66" spans="4:5" x14ac:dyDescent="0.25">
      <c r="D66" s="388" t="s">
        <v>489</v>
      </c>
      <c r="E66" s="388"/>
    </row>
    <row r="67" spans="4:5" ht="30" x14ac:dyDescent="0.25">
      <c r="D67" s="254" t="s">
        <v>490</v>
      </c>
      <c r="E67" s="269">
        <v>250</v>
      </c>
    </row>
    <row r="68" spans="4:5" x14ac:dyDescent="0.25">
      <c r="D68" s="256" t="s">
        <v>494</v>
      </c>
      <c r="E68" s="269">
        <v>0.3</v>
      </c>
    </row>
    <row r="69" spans="4:5" ht="30" x14ac:dyDescent="0.25">
      <c r="D69" s="254" t="s">
        <v>496</v>
      </c>
      <c r="E69" s="269">
        <v>0.25</v>
      </c>
    </row>
    <row r="70" spans="4:5" ht="30" x14ac:dyDescent="0.25">
      <c r="D70" s="254" t="s">
        <v>498</v>
      </c>
      <c r="E70" s="269">
        <v>500</v>
      </c>
    </row>
    <row r="71" spans="4:5" x14ac:dyDescent="0.25">
      <c r="D71" s="256" t="s">
        <v>500</v>
      </c>
      <c r="E71" s="269">
        <v>8</v>
      </c>
    </row>
    <row r="72" spans="4:5" x14ac:dyDescent="0.25">
      <c r="D72" s="256" t="s">
        <v>501</v>
      </c>
      <c r="E72" s="269">
        <v>25</v>
      </c>
    </row>
    <row r="73" spans="4:5" ht="30" x14ac:dyDescent="0.25">
      <c r="D73" s="254" t="s">
        <v>487</v>
      </c>
      <c r="E73" s="269">
        <v>14</v>
      </c>
    </row>
    <row r="74" spans="4:5" x14ac:dyDescent="0.25">
      <c r="D74" s="388" t="s">
        <v>5</v>
      </c>
      <c r="E74" s="388"/>
    </row>
    <row r="75" spans="4:5" x14ac:dyDescent="0.25">
      <c r="D75" s="256" t="s">
        <v>503</v>
      </c>
      <c r="E75" s="269">
        <v>400</v>
      </c>
    </row>
    <row r="76" spans="4:5" ht="30" x14ac:dyDescent="0.25">
      <c r="D76" s="254" t="s">
        <v>504</v>
      </c>
      <c r="E76" s="269">
        <v>400</v>
      </c>
    </row>
  </sheetData>
  <mergeCells count="20">
    <mergeCell ref="D64:E64"/>
    <mergeCell ref="D66:E66"/>
    <mergeCell ref="D74:E74"/>
    <mergeCell ref="R39:S39"/>
    <mergeCell ref="D27:J27"/>
    <mergeCell ref="G48:I48"/>
    <mergeCell ref="D47:I47"/>
    <mergeCell ref="P34:Q34"/>
    <mergeCell ref="R34:S34"/>
    <mergeCell ref="J17:L17"/>
    <mergeCell ref="J18:L18"/>
    <mergeCell ref="D21:E21"/>
    <mergeCell ref="D38:E38"/>
    <mergeCell ref="X5:AB5"/>
    <mergeCell ref="D2:G16"/>
    <mergeCell ref="O7:U7"/>
    <mergeCell ref="J7:L7"/>
    <mergeCell ref="J6:L6"/>
    <mergeCell ref="T34:U34"/>
    <mergeCell ref="J16:R16"/>
  </mergeCells>
  <phoneticPr fontId="7" type="noConversion"/>
  <conditionalFormatting sqref="J18:L19">
    <cfRule type="expression" dxfId="5" priority="1">
      <formula>$K$19="&lt;"</formula>
    </cfRule>
    <cfRule type="expression" dxfId="4" priority="2">
      <formula>$K$19="&gt;"</formula>
    </cfRule>
  </conditionalFormatting>
  <dataValidations count="1">
    <dataValidation type="whole" allowBlank="1" showInputMessage="1" showErrorMessage="1" sqref="Y8:Y21" xr:uid="{CA96CD89-5A13-4E18-A22F-3E781D31CFC4}">
      <formula1>0</formula1>
      <formula2>255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CFE280B-32E6-4746-9106-E6296E8DECD3}">
          <x14:formula1>
            <xm:f>'Dane AutoCad'!$T$8:$T$10</xm:f>
          </x14:formula1>
          <xm:sqref>Z7:Z24</xm:sqref>
        </x14:dataValidation>
        <x14:dataValidation type="list" allowBlank="1" showInputMessage="1" showErrorMessage="1" xr:uid="{24DB7FD8-F9B4-4F5A-B75B-ED983B5065A4}">
          <x14:formula1>
            <xm:f>'Dane AutoCad'!$P$8:$P$32</xm:f>
          </x14:formula1>
          <xm:sqref>AA7:AA24</xm:sqref>
        </x14:dataValidation>
        <x14:dataValidation type="list" allowBlank="1" showInputMessage="1" showErrorMessage="1" xr:uid="{593AA064-A344-4A32-A045-EB11EBFD3C25}">
          <x14:formula1>
            <xm:f>Przekroje!$E$9:$E$16</xm:f>
          </x14:formula1>
          <xm:sqref>E30:E31</xm:sqref>
        </x14:dataValidation>
        <x14:dataValidation type="list" allowBlank="1" showInputMessage="1" showErrorMessage="1" xr:uid="{7CF7C9E5-2E69-4004-9E42-D4B16546CC4A}">
          <x14:formula1>
            <xm:f>Przekroje!$S$12:$S$14</xm:f>
          </x14:formula1>
          <xm:sqref>K33:K34</xm:sqref>
        </x14:dataValidation>
        <x14:dataValidation type="list" allowBlank="1" showInputMessage="1" showErrorMessage="1" xr:uid="{954502A8-D85B-4A07-AB49-452166A169C9}">
          <x14:formula1>
            <xm:f>Przekroje!$M$22:$M$31</xm:f>
          </x14:formula1>
          <xm:sqref>E29</xm:sqref>
        </x14:dataValidation>
        <x14:dataValidation type="list" allowBlank="1" showInputMessage="1" showErrorMessage="1" xr:uid="{6E426826-B32A-418E-8129-DAF6036FEBEA}">
          <x14:formula1>
            <xm:f>Przekroje!$M$38:$M$45</xm:f>
          </x14:formula1>
          <xm:sqref>E43</xm:sqref>
        </x14:dataValidation>
        <x14:dataValidation type="list" allowBlank="1" showInputMessage="1" showErrorMessage="1" xr:uid="{4E9023B3-A542-45A0-9645-5BF559660694}">
          <x14:formula1>
            <xm:f>Przekroje!$E$22:$E$53</xm:f>
          </x14:formula1>
          <xm:sqref>E33:E35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6068F-0B5A-48F5-A57E-F1575F9C2338}">
  <sheetPr codeName="Arkusz3"/>
  <dimension ref="E7:AA53"/>
  <sheetViews>
    <sheetView workbookViewId="0">
      <selection activeCell="M48" sqref="M48"/>
    </sheetView>
  </sheetViews>
  <sheetFormatPr defaultColWidth="9.140625" defaultRowHeight="15" x14ac:dyDescent="0.25"/>
  <cols>
    <col min="1" max="4" width="9.140625" style="256"/>
    <col min="5" max="5" width="10.42578125" style="256" customWidth="1"/>
    <col min="6" max="12" width="9.140625" style="256"/>
    <col min="13" max="13" width="12.140625" style="256" customWidth="1"/>
    <col min="14" max="18" width="9.140625" style="256"/>
    <col min="19" max="19" width="11.85546875" style="256" customWidth="1"/>
    <col min="20" max="16384" width="9.140625" style="256"/>
  </cols>
  <sheetData>
    <row r="7" spans="5:27" x14ac:dyDescent="0.25">
      <c r="E7" s="362" t="s">
        <v>131</v>
      </c>
      <c r="F7" s="362"/>
      <c r="G7" s="362"/>
      <c r="H7" s="362"/>
      <c r="I7" s="362"/>
      <c r="J7" s="362"/>
    </row>
    <row r="8" spans="5:27" x14ac:dyDescent="0.25">
      <c r="F8" s="256" t="s">
        <v>77</v>
      </c>
      <c r="G8" s="256" t="s">
        <v>78</v>
      </c>
      <c r="H8" s="256" t="s">
        <v>79</v>
      </c>
      <c r="I8" s="256" t="s">
        <v>80</v>
      </c>
      <c r="J8" s="256" t="s">
        <v>81</v>
      </c>
      <c r="R8" s="362"/>
      <c r="S8" s="362"/>
      <c r="T8" s="362"/>
      <c r="U8" s="362"/>
      <c r="V8" s="362"/>
      <c r="W8" s="362"/>
      <c r="X8" s="362"/>
      <c r="Y8" s="362"/>
      <c r="Z8" s="362"/>
      <c r="AA8" s="362"/>
    </row>
    <row r="9" spans="5:27" x14ac:dyDescent="0.25">
      <c r="E9" s="256" t="s">
        <v>69</v>
      </c>
      <c r="F9" s="334">
        <v>96</v>
      </c>
      <c r="G9" s="334">
        <v>100</v>
      </c>
      <c r="H9" s="334">
        <v>5</v>
      </c>
      <c r="I9" s="334">
        <v>8</v>
      </c>
      <c r="J9" s="334">
        <v>12</v>
      </c>
      <c r="L9" s="334"/>
      <c r="M9" s="334"/>
      <c r="O9" s="334"/>
      <c r="P9" s="334"/>
    </row>
    <row r="10" spans="5:27" x14ac:dyDescent="0.25">
      <c r="E10" s="256" t="s">
        <v>70</v>
      </c>
      <c r="F10" s="334">
        <v>114</v>
      </c>
      <c r="G10" s="334">
        <v>120</v>
      </c>
      <c r="H10" s="334">
        <v>5</v>
      </c>
      <c r="I10" s="334">
        <v>8</v>
      </c>
      <c r="J10" s="334">
        <v>12</v>
      </c>
      <c r="L10" s="334"/>
      <c r="M10" s="334"/>
      <c r="O10" s="334"/>
      <c r="P10" s="334"/>
    </row>
    <row r="11" spans="5:27" x14ac:dyDescent="0.25">
      <c r="E11" s="256" t="s">
        <v>71</v>
      </c>
      <c r="F11" s="334">
        <v>133</v>
      </c>
      <c r="G11" s="334">
        <v>140</v>
      </c>
      <c r="H11" s="334">
        <v>5.5</v>
      </c>
      <c r="I11" s="334">
        <v>8.5</v>
      </c>
      <c r="J11" s="334">
        <v>12</v>
      </c>
      <c r="L11" s="334"/>
      <c r="M11" s="334"/>
      <c r="N11" s="334"/>
      <c r="O11" s="334"/>
      <c r="P11" s="334"/>
      <c r="S11" s="256" t="s">
        <v>270</v>
      </c>
    </row>
    <row r="12" spans="5:27" x14ac:dyDescent="0.25">
      <c r="E12" s="256" t="s">
        <v>72</v>
      </c>
      <c r="F12" s="334">
        <v>152</v>
      </c>
      <c r="G12" s="334">
        <v>160</v>
      </c>
      <c r="H12" s="334">
        <v>6</v>
      </c>
      <c r="I12" s="334">
        <v>9</v>
      </c>
      <c r="J12" s="334">
        <v>15</v>
      </c>
      <c r="L12" s="334"/>
      <c r="M12" s="334"/>
      <c r="N12" s="334"/>
      <c r="O12" s="334"/>
      <c r="P12" s="334"/>
      <c r="S12" s="256">
        <v>2</v>
      </c>
    </row>
    <row r="13" spans="5:27" x14ac:dyDescent="0.25">
      <c r="E13" s="256" t="s">
        <v>73</v>
      </c>
      <c r="F13" s="334">
        <v>171</v>
      </c>
      <c r="G13" s="334">
        <v>180</v>
      </c>
      <c r="H13" s="334">
        <v>6</v>
      </c>
      <c r="I13" s="334">
        <v>9.5</v>
      </c>
      <c r="J13" s="334">
        <v>15</v>
      </c>
      <c r="L13" s="334"/>
      <c r="M13" s="334"/>
      <c r="N13" s="334"/>
      <c r="O13" s="334"/>
      <c r="P13" s="334"/>
      <c r="S13" s="256">
        <v>4</v>
      </c>
    </row>
    <row r="14" spans="5:27" x14ac:dyDescent="0.25">
      <c r="E14" s="256" t="s">
        <v>74</v>
      </c>
      <c r="F14" s="334">
        <v>190</v>
      </c>
      <c r="G14" s="334">
        <v>200</v>
      </c>
      <c r="H14" s="334">
        <v>6.5</v>
      </c>
      <c r="I14" s="334">
        <v>10</v>
      </c>
      <c r="J14" s="334">
        <v>18</v>
      </c>
      <c r="L14" s="334"/>
      <c r="M14" s="334"/>
      <c r="N14" s="334"/>
      <c r="O14" s="334"/>
      <c r="P14" s="334"/>
      <c r="S14" s="256">
        <v>6</v>
      </c>
    </row>
    <row r="15" spans="5:27" x14ac:dyDescent="0.25">
      <c r="E15" s="256" t="s">
        <v>75</v>
      </c>
      <c r="F15" s="334">
        <v>210</v>
      </c>
      <c r="G15" s="334">
        <v>220</v>
      </c>
      <c r="H15" s="334">
        <v>7</v>
      </c>
      <c r="I15" s="334">
        <v>11</v>
      </c>
      <c r="J15" s="334">
        <v>18</v>
      </c>
      <c r="L15" s="334"/>
      <c r="M15" s="334"/>
      <c r="N15" s="334"/>
      <c r="O15" s="334"/>
      <c r="P15" s="334"/>
      <c r="S15" s="314"/>
    </row>
    <row r="16" spans="5:27" x14ac:dyDescent="0.25">
      <c r="E16" s="256" t="s">
        <v>76</v>
      </c>
      <c r="F16" s="334">
        <v>230</v>
      </c>
      <c r="G16" s="334">
        <v>240</v>
      </c>
      <c r="H16" s="334">
        <v>7.5</v>
      </c>
      <c r="I16" s="334">
        <v>12</v>
      </c>
      <c r="J16" s="334">
        <v>21</v>
      </c>
      <c r="L16" s="334"/>
      <c r="M16" s="334"/>
      <c r="N16" s="334"/>
      <c r="O16" s="334"/>
      <c r="P16" s="334"/>
    </row>
    <row r="20" spans="5:24" x14ac:dyDescent="0.25">
      <c r="E20" s="362" t="s">
        <v>7</v>
      </c>
      <c r="F20" s="362"/>
      <c r="G20" s="362"/>
      <c r="H20" s="362"/>
      <c r="I20" s="362"/>
      <c r="J20" s="362"/>
      <c r="N20" s="362" t="s">
        <v>375</v>
      </c>
      <c r="O20" s="362"/>
      <c r="P20" s="362"/>
      <c r="Q20" s="362"/>
      <c r="R20" s="362"/>
      <c r="S20" s="362" t="s">
        <v>392</v>
      </c>
      <c r="T20" s="362"/>
      <c r="U20" s="362"/>
      <c r="V20" s="362"/>
      <c r="W20" s="362"/>
      <c r="X20" s="362"/>
    </row>
    <row r="21" spans="5:24" x14ac:dyDescent="0.25">
      <c r="F21" s="256" t="s">
        <v>66</v>
      </c>
      <c r="G21" s="256" t="s">
        <v>141</v>
      </c>
      <c r="H21" s="256" t="s">
        <v>68</v>
      </c>
      <c r="I21" s="256" t="s">
        <v>142</v>
      </c>
      <c r="J21" s="256" t="s">
        <v>168</v>
      </c>
      <c r="N21" s="256" t="s">
        <v>66</v>
      </c>
      <c r="O21" s="256" t="s">
        <v>67</v>
      </c>
      <c r="P21" s="256" t="s">
        <v>376</v>
      </c>
      <c r="Q21" s="256" t="s">
        <v>377</v>
      </c>
      <c r="R21" s="256" t="s">
        <v>101</v>
      </c>
      <c r="T21" s="256" t="s">
        <v>66</v>
      </c>
      <c r="U21" s="256" t="s">
        <v>67</v>
      </c>
      <c r="V21" s="256" t="s">
        <v>141</v>
      </c>
      <c r="W21" s="256" t="s">
        <v>68</v>
      </c>
      <c r="X21" s="256" t="s">
        <v>142</v>
      </c>
    </row>
    <row r="22" spans="5:24" x14ac:dyDescent="0.25">
      <c r="E22" s="256" t="s">
        <v>132</v>
      </c>
      <c r="F22" s="256">
        <v>40</v>
      </c>
      <c r="G22" s="256">
        <v>4</v>
      </c>
      <c r="H22" s="256">
        <v>6</v>
      </c>
      <c r="I22" s="256">
        <v>3</v>
      </c>
      <c r="J22" s="256">
        <v>11.2</v>
      </c>
      <c r="M22" s="256" t="s">
        <v>378</v>
      </c>
      <c r="N22" s="256">
        <v>100</v>
      </c>
      <c r="O22" s="256">
        <v>55</v>
      </c>
      <c r="P22" s="256">
        <v>4.0999999999999996</v>
      </c>
      <c r="Q22" s="256">
        <v>5.7</v>
      </c>
      <c r="R22" s="256">
        <v>7</v>
      </c>
      <c r="S22" s="269" t="s">
        <v>393</v>
      </c>
      <c r="T22" s="256">
        <f>VLOOKUP(S22,$M$38:$R$44,2,FALSE)</f>
        <v>65</v>
      </c>
      <c r="U22" s="256">
        <f>VLOOKUP(S22,$M$38:$R$44,3,FALSE)</f>
        <v>50</v>
      </c>
      <c r="V22" s="256">
        <f>VLOOKUP(S22,$M$38:$R$44,4,FALSE)</f>
        <v>8</v>
      </c>
      <c r="W22" s="256">
        <f>VLOOKUP(S22,$M$38:$R$44,5,FALSE)</f>
        <v>6</v>
      </c>
      <c r="X22" s="256">
        <f>VLOOKUP(S22,$M$38:$R$44,6,FALSE)</f>
        <v>3</v>
      </c>
    </row>
    <row r="23" spans="5:24" x14ac:dyDescent="0.25">
      <c r="E23" s="256" t="s">
        <v>133</v>
      </c>
      <c r="F23" s="256">
        <v>40</v>
      </c>
      <c r="G23" s="256">
        <v>5</v>
      </c>
      <c r="H23" s="256">
        <v>6</v>
      </c>
      <c r="I23" s="256">
        <v>3</v>
      </c>
      <c r="J23" s="256">
        <v>11.6</v>
      </c>
      <c r="M23" s="256" t="s">
        <v>379</v>
      </c>
      <c r="N23" s="256">
        <v>120</v>
      </c>
      <c r="O23" s="256">
        <v>64</v>
      </c>
      <c r="P23" s="256">
        <v>4.4000000000000004</v>
      </c>
      <c r="Q23" s="256">
        <v>6.3</v>
      </c>
      <c r="R23" s="256">
        <v>7</v>
      </c>
      <c r="S23" s="269" t="s">
        <v>394</v>
      </c>
      <c r="T23" s="256">
        <f t="shared" ref="T23:T31" si="0">VLOOKUP(S23,$M$38:$R$44,2,FALSE)</f>
        <v>80</v>
      </c>
      <c r="U23" s="256">
        <f t="shared" ref="U23:U31" si="1">VLOOKUP(S23,$M$38:$R$44,3,FALSE)</f>
        <v>60</v>
      </c>
      <c r="V23" s="256">
        <f t="shared" ref="V23:V31" si="2">VLOOKUP(S23,$M$38:$R$44,4,FALSE)</f>
        <v>8</v>
      </c>
      <c r="W23" s="256">
        <f t="shared" ref="W23:W31" si="3">VLOOKUP(S23,$M$38:$R$44,5,FALSE)</f>
        <v>8</v>
      </c>
      <c r="X23" s="256">
        <f t="shared" ref="X23:X31" si="4">VLOOKUP(S23,$M$38:$R$44,6,FALSE)</f>
        <v>4</v>
      </c>
    </row>
    <row r="24" spans="5:24" x14ac:dyDescent="0.25">
      <c r="E24" s="256" t="s">
        <v>134</v>
      </c>
      <c r="F24" s="256">
        <v>40</v>
      </c>
      <c r="G24" s="256">
        <v>6</v>
      </c>
      <c r="H24" s="256">
        <v>6</v>
      </c>
      <c r="I24" s="256">
        <v>3</v>
      </c>
      <c r="J24" s="256">
        <v>12</v>
      </c>
      <c r="M24" s="256" t="s">
        <v>380</v>
      </c>
      <c r="N24" s="256">
        <v>140</v>
      </c>
      <c r="O24" s="256">
        <v>73</v>
      </c>
      <c r="P24" s="256">
        <v>4.7</v>
      </c>
      <c r="Q24" s="256">
        <v>6.9</v>
      </c>
      <c r="R24" s="256">
        <v>7</v>
      </c>
      <c r="S24" s="269" t="s">
        <v>395</v>
      </c>
      <c r="T24" s="256">
        <f t="shared" si="0"/>
        <v>90</v>
      </c>
      <c r="U24" s="256">
        <f t="shared" si="1"/>
        <v>65</v>
      </c>
      <c r="V24" s="256">
        <f t="shared" si="2"/>
        <v>10</v>
      </c>
      <c r="W24" s="256">
        <f t="shared" si="3"/>
        <v>8</v>
      </c>
      <c r="X24" s="256">
        <f t="shared" si="4"/>
        <v>4</v>
      </c>
    </row>
    <row r="25" spans="5:24" x14ac:dyDescent="0.25">
      <c r="E25" s="256" t="s">
        <v>135</v>
      </c>
      <c r="F25" s="256">
        <v>45</v>
      </c>
      <c r="G25" s="256">
        <v>4</v>
      </c>
      <c r="H25" s="256">
        <v>7</v>
      </c>
      <c r="I25" s="256">
        <v>3.5</v>
      </c>
      <c r="J25" s="256">
        <v>12.3</v>
      </c>
      <c r="M25" s="256" t="s">
        <v>381</v>
      </c>
      <c r="N25" s="256">
        <v>160</v>
      </c>
      <c r="O25" s="256">
        <v>82</v>
      </c>
      <c r="P25" s="256">
        <v>5</v>
      </c>
      <c r="Q25" s="256">
        <v>7.4</v>
      </c>
      <c r="R25" s="256">
        <v>9</v>
      </c>
      <c r="S25" s="269" t="s">
        <v>397</v>
      </c>
      <c r="T25" s="256">
        <f t="shared" si="0"/>
        <v>125</v>
      </c>
      <c r="U25" s="256">
        <f t="shared" si="1"/>
        <v>75</v>
      </c>
      <c r="V25" s="256">
        <f t="shared" si="2"/>
        <v>10</v>
      </c>
      <c r="W25" s="256">
        <f t="shared" si="3"/>
        <v>11</v>
      </c>
      <c r="X25" s="256">
        <f t="shared" si="4"/>
        <v>5.5</v>
      </c>
    </row>
    <row r="26" spans="5:24" x14ac:dyDescent="0.25">
      <c r="E26" s="256" t="s">
        <v>136</v>
      </c>
      <c r="F26" s="256">
        <v>45</v>
      </c>
      <c r="G26" s="256">
        <v>5</v>
      </c>
      <c r="H26" s="256">
        <v>7</v>
      </c>
      <c r="I26" s="256">
        <v>3.5</v>
      </c>
      <c r="J26" s="256">
        <v>12.8</v>
      </c>
      <c r="M26" s="256" t="s">
        <v>382</v>
      </c>
      <c r="N26" s="256">
        <v>180</v>
      </c>
      <c r="O26" s="256">
        <v>91</v>
      </c>
      <c r="P26" s="256">
        <v>5.3</v>
      </c>
      <c r="Q26" s="256">
        <v>8</v>
      </c>
      <c r="R26" s="256">
        <v>9</v>
      </c>
      <c r="S26" s="269" t="s">
        <v>397</v>
      </c>
      <c r="T26" s="256">
        <f t="shared" si="0"/>
        <v>125</v>
      </c>
      <c r="U26" s="256">
        <f t="shared" si="1"/>
        <v>75</v>
      </c>
      <c r="V26" s="256">
        <f t="shared" si="2"/>
        <v>10</v>
      </c>
      <c r="W26" s="256">
        <f t="shared" si="3"/>
        <v>11</v>
      </c>
      <c r="X26" s="256">
        <f t="shared" si="4"/>
        <v>5.5</v>
      </c>
    </row>
    <row r="27" spans="5:24" x14ac:dyDescent="0.25">
      <c r="E27" s="256" t="s">
        <v>137</v>
      </c>
      <c r="F27" s="256">
        <v>45</v>
      </c>
      <c r="G27" s="256">
        <v>6</v>
      </c>
      <c r="H27" s="256">
        <v>7</v>
      </c>
      <c r="I27" s="256">
        <v>3.5</v>
      </c>
      <c r="J27" s="256">
        <v>13.2</v>
      </c>
      <c r="M27" s="256" t="s">
        <v>383</v>
      </c>
      <c r="N27" s="256">
        <v>200</v>
      </c>
      <c r="O27" s="256">
        <v>100</v>
      </c>
      <c r="P27" s="256">
        <v>5.6</v>
      </c>
      <c r="Q27" s="256">
        <v>8.5</v>
      </c>
      <c r="R27" s="256">
        <v>12</v>
      </c>
      <c r="S27" s="269" t="s">
        <v>397</v>
      </c>
      <c r="T27" s="256">
        <f t="shared" si="0"/>
        <v>125</v>
      </c>
      <c r="U27" s="256">
        <f t="shared" si="1"/>
        <v>75</v>
      </c>
      <c r="V27" s="256">
        <f t="shared" si="2"/>
        <v>10</v>
      </c>
      <c r="W27" s="256">
        <f t="shared" si="3"/>
        <v>11</v>
      </c>
      <c r="X27" s="256">
        <f t="shared" si="4"/>
        <v>5.5</v>
      </c>
    </row>
    <row r="28" spans="5:24" x14ac:dyDescent="0.25">
      <c r="E28" s="256" t="s">
        <v>138</v>
      </c>
      <c r="F28" s="256">
        <v>50</v>
      </c>
      <c r="G28" s="256">
        <v>4</v>
      </c>
      <c r="H28" s="256">
        <v>7</v>
      </c>
      <c r="I28" s="256">
        <v>3.5</v>
      </c>
      <c r="J28" s="256">
        <v>13.6</v>
      </c>
      <c r="M28" s="256" t="s">
        <v>384</v>
      </c>
      <c r="N28" s="256">
        <v>220</v>
      </c>
      <c r="O28" s="256">
        <v>110</v>
      </c>
      <c r="P28" s="256">
        <v>5.9</v>
      </c>
      <c r="Q28" s="256">
        <v>9.1999999999999993</v>
      </c>
      <c r="R28" s="256">
        <v>12</v>
      </c>
      <c r="S28" s="269" t="s">
        <v>398</v>
      </c>
      <c r="T28" s="256">
        <f t="shared" si="0"/>
        <v>150</v>
      </c>
      <c r="U28" s="256">
        <f t="shared" si="1"/>
        <v>75</v>
      </c>
      <c r="V28" s="256">
        <f t="shared" si="2"/>
        <v>10</v>
      </c>
      <c r="W28" s="256">
        <f t="shared" si="3"/>
        <v>11</v>
      </c>
      <c r="X28" s="256">
        <f t="shared" si="4"/>
        <v>5.5</v>
      </c>
    </row>
    <row r="29" spans="5:24" x14ac:dyDescent="0.25">
      <c r="E29" s="256" t="s">
        <v>139</v>
      </c>
      <c r="F29" s="256">
        <v>50</v>
      </c>
      <c r="G29" s="256">
        <v>5</v>
      </c>
      <c r="H29" s="256">
        <v>7</v>
      </c>
      <c r="I29" s="256">
        <v>3.5</v>
      </c>
      <c r="J29" s="256">
        <v>14</v>
      </c>
      <c r="M29" s="256" t="s">
        <v>385</v>
      </c>
      <c r="N29" s="256">
        <v>240</v>
      </c>
      <c r="O29" s="256">
        <v>120</v>
      </c>
      <c r="P29" s="256">
        <v>6.2</v>
      </c>
      <c r="Q29" s="256">
        <v>9.8000000000000007</v>
      </c>
      <c r="R29" s="256">
        <v>15</v>
      </c>
      <c r="S29" s="269" t="s">
        <v>398</v>
      </c>
      <c r="T29" s="256">
        <f t="shared" si="0"/>
        <v>150</v>
      </c>
      <c r="U29" s="256">
        <f t="shared" si="1"/>
        <v>75</v>
      </c>
      <c r="V29" s="256">
        <f t="shared" si="2"/>
        <v>10</v>
      </c>
      <c r="W29" s="256">
        <f t="shared" si="3"/>
        <v>11</v>
      </c>
      <c r="X29" s="256">
        <f t="shared" si="4"/>
        <v>5.5</v>
      </c>
    </row>
    <row r="30" spans="5:24" x14ac:dyDescent="0.25">
      <c r="E30" s="256" t="s">
        <v>140</v>
      </c>
      <c r="F30" s="256">
        <v>50</v>
      </c>
      <c r="G30" s="256">
        <v>6</v>
      </c>
      <c r="H30" s="256">
        <v>7</v>
      </c>
      <c r="I30" s="256">
        <v>3.5</v>
      </c>
      <c r="J30" s="256">
        <v>14.5</v>
      </c>
      <c r="M30" s="256" t="s">
        <v>386</v>
      </c>
      <c r="N30" s="256">
        <v>270</v>
      </c>
      <c r="O30" s="256">
        <v>135</v>
      </c>
      <c r="P30" s="256">
        <v>6.6</v>
      </c>
      <c r="Q30" s="256">
        <v>10.199999999999999</v>
      </c>
      <c r="R30" s="256">
        <v>15</v>
      </c>
      <c r="S30" s="269" t="s">
        <v>399</v>
      </c>
      <c r="T30" s="256">
        <f t="shared" si="0"/>
        <v>200</v>
      </c>
      <c r="U30" s="256">
        <f t="shared" si="1"/>
        <v>100</v>
      </c>
      <c r="V30" s="256">
        <f t="shared" si="2"/>
        <v>10</v>
      </c>
      <c r="W30" s="256">
        <f t="shared" si="3"/>
        <v>15</v>
      </c>
      <c r="X30" s="256">
        <f t="shared" si="4"/>
        <v>7.5</v>
      </c>
    </row>
    <row r="31" spans="5:24" x14ac:dyDescent="0.25">
      <c r="E31" s="256" t="s">
        <v>143</v>
      </c>
      <c r="F31" s="256">
        <v>55</v>
      </c>
      <c r="G31" s="256">
        <v>4</v>
      </c>
      <c r="H31" s="256">
        <v>8</v>
      </c>
      <c r="I31" s="256">
        <v>4</v>
      </c>
      <c r="J31" s="256">
        <v>14.7</v>
      </c>
      <c r="M31" s="256" t="s">
        <v>387</v>
      </c>
      <c r="N31" s="256">
        <v>300</v>
      </c>
      <c r="O31" s="256">
        <v>150</v>
      </c>
      <c r="P31" s="256">
        <v>7.1</v>
      </c>
      <c r="Q31" s="256">
        <v>10.7</v>
      </c>
      <c r="R31" s="256">
        <v>15</v>
      </c>
      <c r="S31" s="269" t="s">
        <v>399</v>
      </c>
      <c r="T31" s="256">
        <f t="shared" si="0"/>
        <v>200</v>
      </c>
      <c r="U31" s="256">
        <f t="shared" si="1"/>
        <v>100</v>
      </c>
      <c r="V31" s="256">
        <f t="shared" si="2"/>
        <v>10</v>
      </c>
      <c r="W31" s="256">
        <f t="shared" si="3"/>
        <v>15</v>
      </c>
      <c r="X31" s="256">
        <f t="shared" si="4"/>
        <v>7.5</v>
      </c>
    </row>
    <row r="32" spans="5:24" x14ac:dyDescent="0.25">
      <c r="E32" s="256" t="s">
        <v>144</v>
      </c>
      <c r="F32" s="256">
        <v>55</v>
      </c>
      <c r="G32" s="256">
        <v>5</v>
      </c>
      <c r="H32" s="256">
        <v>8</v>
      </c>
      <c r="I32" s="256">
        <v>4</v>
      </c>
      <c r="J32" s="256">
        <v>15.2</v>
      </c>
    </row>
    <row r="33" spans="5:18" x14ac:dyDescent="0.25">
      <c r="E33" s="256" t="s">
        <v>145</v>
      </c>
      <c r="F33" s="256">
        <v>55</v>
      </c>
      <c r="G33" s="256">
        <v>6</v>
      </c>
      <c r="H33" s="256">
        <v>8</v>
      </c>
      <c r="I33" s="256">
        <v>4</v>
      </c>
      <c r="J33" s="256">
        <v>15.6</v>
      </c>
    </row>
    <row r="34" spans="5:18" x14ac:dyDescent="0.25">
      <c r="E34" s="256" t="s">
        <v>146</v>
      </c>
      <c r="F34" s="256">
        <v>60</v>
      </c>
      <c r="G34" s="256">
        <v>4</v>
      </c>
      <c r="H34" s="256">
        <v>8</v>
      </c>
      <c r="I34" s="256">
        <v>4</v>
      </c>
      <c r="J34" s="256">
        <v>16</v>
      </c>
    </row>
    <row r="35" spans="5:18" x14ac:dyDescent="0.25">
      <c r="E35" s="256" t="s">
        <v>147</v>
      </c>
      <c r="F35" s="256">
        <v>60</v>
      </c>
      <c r="G35" s="256">
        <v>5</v>
      </c>
      <c r="H35" s="256">
        <v>8</v>
      </c>
      <c r="I35" s="256">
        <v>4</v>
      </c>
      <c r="J35" s="256">
        <v>16.399999999999999</v>
      </c>
    </row>
    <row r="36" spans="5:18" x14ac:dyDescent="0.25">
      <c r="E36" s="256" t="s">
        <v>148</v>
      </c>
      <c r="F36" s="256">
        <v>60</v>
      </c>
      <c r="G36" s="256">
        <v>6</v>
      </c>
      <c r="H36" s="256">
        <v>8</v>
      </c>
      <c r="I36" s="256">
        <v>4</v>
      </c>
      <c r="J36" s="256">
        <v>16.899999999999999</v>
      </c>
      <c r="M36" s="362" t="s">
        <v>400</v>
      </c>
      <c r="N36" s="362"/>
      <c r="O36" s="362"/>
      <c r="P36" s="362"/>
      <c r="Q36" s="362"/>
      <c r="R36" s="362"/>
    </row>
    <row r="37" spans="5:18" x14ac:dyDescent="0.25">
      <c r="E37" s="256" t="s">
        <v>149</v>
      </c>
      <c r="F37" s="256">
        <v>65</v>
      </c>
      <c r="G37" s="256">
        <v>4</v>
      </c>
      <c r="H37" s="256">
        <v>9</v>
      </c>
      <c r="I37" s="256">
        <v>4</v>
      </c>
      <c r="J37" s="256">
        <v>17.100000000000001</v>
      </c>
      <c r="N37" s="256" t="s">
        <v>66</v>
      </c>
      <c r="O37" s="256" t="s">
        <v>67</v>
      </c>
      <c r="P37" s="256" t="s">
        <v>141</v>
      </c>
      <c r="Q37" s="256" t="s">
        <v>68</v>
      </c>
      <c r="R37" s="256" t="s">
        <v>142</v>
      </c>
    </row>
    <row r="38" spans="5:18" x14ac:dyDescent="0.25">
      <c r="E38" s="256" t="s">
        <v>150</v>
      </c>
      <c r="F38" s="256">
        <v>65</v>
      </c>
      <c r="G38" s="256">
        <v>5</v>
      </c>
      <c r="H38" s="256">
        <v>9</v>
      </c>
      <c r="I38" s="256">
        <v>4.5</v>
      </c>
      <c r="J38" s="256">
        <v>17.600000000000001</v>
      </c>
      <c r="M38" s="256" t="s">
        <v>393</v>
      </c>
      <c r="N38" s="256">
        <v>65</v>
      </c>
      <c r="O38" s="256">
        <v>50</v>
      </c>
      <c r="P38" s="256">
        <v>8</v>
      </c>
      <c r="Q38" s="256">
        <v>6</v>
      </c>
      <c r="R38" s="256">
        <v>3</v>
      </c>
    </row>
    <row r="39" spans="5:18" x14ac:dyDescent="0.25">
      <c r="E39" s="256" t="s">
        <v>151</v>
      </c>
      <c r="F39" s="256">
        <v>65</v>
      </c>
      <c r="G39" s="256">
        <v>6</v>
      </c>
      <c r="H39" s="256">
        <v>9</v>
      </c>
      <c r="I39" s="256">
        <v>4.5</v>
      </c>
      <c r="J39" s="256">
        <v>18</v>
      </c>
      <c r="M39" s="256" t="s">
        <v>394</v>
      </c>
      <c r="N39" s="256">
        <v>80</v>
      </c>
      <c r="O39" s="256">
        <v>60</v>
      </c>
      <c r="P39" s="256">
        <v>8</v>
      </c>
      <c r="Q39" s="256">
        <v>8</v>
      </c>
      <c r="R39" s="256">
        <v>4</v>
      </c>
    </row>
    <row r="40" spans="5:18" x14ac:dyDescent="0.25">
      <c r="E40" s="256" t="s">
        <v>152</v>
      </c>
      <c r="F40" s="256">
        <v>70</v>
      </c>
      <c r="G40" s="256">
        <v>5</v>
      </c>
      <c r="H40" s="256">
        <v>9</v>
      </c>
      <c r="I40" s="256">
        <v>4.5</v>
      </c>
      <c r="J40" s="256">
        <v>18.8</v>
      </c>
      <c r="M40" s="256" t="s">
        <v>395</v>
      </c>
      <c r="N40" s="256">
        <v>90</v>
      </c>
      <c r="O40" s="256">
        <v>65</v>
      </c>
      <c r="P40" s="256">
        <v>10</v>
      </c>
      <c r="Q40" s="256">
        <v>8</v>
      </c>
      <c r="R40" s="256">
        <v>4</v>
      </c>
    </row>
    <row r="41" spans="5:18" x14ac:dyDescent="0.25">
      <c r="E41" s="256" t="s">
        <v>153</v>
      </c>
      <c r="F41" s="256">
        <v>70</v>
      </c>
      <c r="G41" s="256">
        <v>6</v>
      </c>
      <c r="H41" s="256">
        <v>9</v>
      </c>
      <c r="I41" s="256">
        <v>4.5</v>
      </c>
      <c r="J41" s="256">
        <v>19.3</v>
      </c>
      <c r="M41" s="256" t="s">
        <v>396</v>
      </c>
      <c r="N41" s="256">
        <v>100</v>
      </c>
      <c r="O41" s="256">
        <v>65</v>
      </c>
      <c r="P41" s="256">
        <v>10</v>
      </c>
      <c r="Q41" s="256">
        <v>10</v>
      </c>
      <c r="R41" s="256">
        <v>5</v>
      </c>
    </row>
    <row r="42" spans="5:18" x14ac:dyDescent="0.25">
      <c r="E42" s="256" t="s">
        <v>154</v>
      </c>
      <c r="F42" s="256">
        <v>70</v>
      </c>
      <c r="G42" s="256">
        <v>7</v>
      </c>
      <c r="H42" s="256">
        <v>9</v>
      </c>
      <c r="I42" s="256">
        <v>4.5</v>
      </c>
      <c r="J42" s="256">
        <v>19.7</v>
      </c>
      <c r="M42" s="256" t="s">
        <v>397</v>
      </c>
      <c r="N42" s="256">
        <v>125</v>
      </c>
      <c r="O42" s="256">
        <v>75</v>
      </c>
      <c r="P42" s="256">
        <v>10</v>
      </c>
      <c r="Q42" s="256">
        <v>11</v>
      </c>
      <c r="R42" s="256">
        <v>5.5</v>
      </c>
    </row>
    <row r="43" spans="5:18" x14ac:dyDescent="0.25">
      <c r="E43" s="256" t="s">
        <v>155</v>
      </c>
      <c r="F43" s="256">
        <v>75</v>
      </c>
      <c r="G43" s="256">
        <v>4</v>
      </c>
      <c r="H43" s="256">
        <v>9</v>
      </c>
      <c r="I43" s="256">
        <v>4</v>
      </c>
      <c r="J43" s="256">
        <v>19.600000000000001</v>
      </c>
      <c r="M43" s="256" t="s">
        <v>398</v>
      </c>
      <c r="N43" s="256">
        <v>150</v>
      </c>
      <c r="O43" s="256">
        <v>75</v>
      </c>
      <c r="P43" s="256">
        <v>10</v>
      </c>
      <c r="Q43" s="256">
        <v>11</v>
      </c>
      <c r="R43" s="256">
        <v>5.5</v>
      </c>
    </row>
    <row r="44" spans="5:18" x14ac:dyDescent="0.25">
      <c r="E44" s="256" t="s">
        <v>156</v>
      </c>
      <c r="F44" s="256">
        <v>75</v>
      </c>
      <c r="G44" s="256">
        <v>5</v>
      </c>
      <c r="H44" s="256">
        <v>9</v>
      </c>
      <c r="I44" s="256">
        <v>4.5</v>
      </c>
      <c r="J44" s="256">
        <v>20.100000000000001</v>
      </c>
      <c r="M44" s="256" t="s">
        <v>399</v>
      </c>
      <c r="N44" s="256">
        <v>200</v>
      </c>
      <c r="O44" s="256">
        <v>100</v>
      </c>
      <c r="P44" s="256">
        <v>10</v>
      </c>
      <c r="Q44" s="256">
        <v>15</v>
      </c>
      <c r="R44" s="256">
        <v>7.5</v>
      </c>
    </row>
    <row r="45" spans="5:18" x14ac:dyDescent="0.25">
      <c r="E45" s="256" t="s">
        <v>157</v>
      </c>
      <c r="F45" s="256">
        <v>75</v>
      </c>
      <c r="G45" s="256">
        <v>6</v>
      </c>
      <c r="H45" s="256">
        <v>9</v>
      </c>
      <c r="I45" s="256">
        <v>4.5</v>
      </c>
      <c r="J45" s="256">
        <v>20.5</v>
      </c>
      <c r="M45" s="256" t="s">
        <v>408</v>
      </c>
      <c r="N45" s="256">
        <v>150</v>
      </c>
      <c r="O45" s="256">
        <v>90</v>
      </c>
      <c r="P45" s="256">
        <v>10</v>
      </c>
      <c r="Q45" s="256">
        <v>12</v>
      </c>
      <c r="R45" s="256">
        <v>6</v>
      </c>
    </row>
    <row r="46" spans="5:18" x14ac:dyDescent="0.25">
      <c r="E46" s="256" t="s">
        <v>551</v>
      </c>
      <c r="F46" s="256">
        <v>75</v>
      </c>
      <c r="G46" s="256">
        <v>7</v>
      </c>
      <c r="H46" s="256">
        <v>10</v>
      </c>
      <c r="I46" s="256">
        <v>5</v>
      </c>
      <c r="J46" s="256">
        <v>20.9</v>
      </c>
    </row>
    <row r="47" spans="5:18" x14ac:dyDescent="0.25">
      <c r="E47" s="256" t="s">
        <v>158</v>
      </c>
      <c r="F47" s="256">
        <v>80</v>
      </c>
      <c r="G47" s="256">
        <v>5</v>
      </c>
      <c r="H47" s="256">
        <v>10</v>
      </c>
      <c r="I47" s="256">
        <v>5</v>
      </c>
      <c r="J47" s="256">
        <v>21.2</v>
      </c>
    </row>
    <row r="48" spans="5:18" x14ac:dyDescent="0.25">
      <c r="E48" s="256" t="s">
        <v>159</v>
      </c>
      <c r="F48" s="256">
        <v>80</v>
      </c>
      <c r="G48" s="256">
        <v>6</v>
      </c>
      <c r="H48" s="256">
        <v>10</v>
      </c>
      <c r="I48" s="256">
        <v>5</v>
      </c>
      <c r="J48" s="256">
        <v>21.7</v>
      </c>
    </row>
    <row r="49" spans="5:10" x14ac:dyDescent="0.25">
      <c r="E49" s="256" t="s">
        <v>160</v>
      </c>
      <c r="F49" s="256">
        <v>80</v>
      </c>
      <c r="G49" s="256">
        <v>7</v>
      </c>
      <c r="H49" s="256">
        <v>10</v>
      </c>
      <c r="I49" s="256">
        <v>5</v>
      </c>
      <c r="J49" s="256">
        <v>22.1</v>
      </c>
    </row>
    <row r="50" spans="5:10" x14ac:dyDescent="0.25">
      <c r="E50" s="256" t="s">
        <v>161</v>
      </c>
      <c r="F50" s="256">
        <v>90</v>
      </c>
      <c r="G50" s="256">
        <v>5</v>
      </c>
      <c r="H50" s="256">
        <v>11</v>
      </c>
      <c r="I50" s="256">
        <v>5</v>
      </c>
      <c r="J50" s="256">
        <v>23.6</v>
      </c>
    </row>
    <row r="51" spans="5:10" x14ac:dyDescent="0.25">
      <c r="E51" s="256" t="s">
        <v>162</v>
      </c>
      <c r="F51" s="256">
        <v>90</v>
      </c>
      <c r="G51" s="256">
        <v>6</v>
      </c>
      <c r="H51" s="256">
        <v>11</v>
      </c>
      <c r="I51" s="256">
        <v>5.5</v>
      </c>
      <c r="J51" s="256">
        <v>24.1</v>
      </c>
    </row>
    <row r="52" spans="5:10" x14ac:dyDescent="0.25">
      <c r="E52" s="256" t="s">
        <v>163</v>
      </c>
      <c r="F52" s="256">
        <v>100</v>
      </c>
      <c r="G52" s="256">
        <v>6</v>
      </c>
      <c r="H52" s="256">
        <v>12</v>
      </c>
      <c r="I52" s="256">
        <v>6</v>
      </c>
      <c r="J52" s="256">
        <v>26.4</v>
      </c>
    </row>
    <row r="53" spans="5:10" x14ac:dyDescent="0.25">
      <c r="E53" s="256" t="s">
        <v>164</v>
      </c>
      <c r="F53" s="256">
        <v>100</v>
      </c>
      <c r="G53" s="256">
        <v>7</v>
      </c>
      <c r="H53" s="256">
        <v>12</v>
      </c>
      <c r="I53" s="256">
        <v>6</v>
      </c>
      <c r="J53" s="256">
        <v>26.9</v>
      </c>
    </row>
  </sheetData>
  <mergeCells count="6">
    <mergeCell ref="M36:R36"/>
    <mergeCell ref="E20:J20"/>
    <mergeCell ref="R8:AA8"/>
    <mergeCell ref="E7:J7"/>
    <mergeCell ref="N20:R20"/>
    <mergeCell ref="S20:X20"/>
  </mergeCells>
  <phoneticPr fontId="7" type="noConversion"/>
  <dataValidations count="2">
    <dataValidation type="list" allowBlank="1" showInputMessage="1" showErrorMessage="1" sqref="S24:S31" xr:uid="{050239C3-BCE1-4549-B4D1-6FFEF8439677}">
      <formula1>$M$38:$M$44</formula1>
    </dataValidation>
    <dataValidation type="list" allowBlank="1" showInputMessage="1" showErrorMessage="1" sqref="S22 S23" xr:uid="{DDB837EF-6DCF-4AE0-856F-3BCA18645E76}">
      <formula1>$M$38:$M$45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6DB6C-4665-49B6-96A8-7657E5A85CD5}">
  <sheetPr codeName="Arkusz4"/>
  <dimension ref="C2:AT654"/>
  <sheetViews>
    <sheetView zoomScaleNormal="100" workbookViewId="0">
      <selection activeCell="K651" sqref="K651"/>
    </sheetView>
  </sheetViews>
  <sheetFormatPr defaultColWidth="9.140625" defaultRowHeight="15" x14ac:dyDescent="0.25"/>
  <cols>
    <col min="1" max="2" width="9.140625" style="256"/>
    <col min="3" max="3" width="20" style="256" customWidth="1"/>
    <col min="4" max="6" width="9.140625" style="256"/>
    <col min="7" max="7" width="20.28515625" style="256" customWidth="1"/>
    <col min="8" max="8" width="19.5703125" style="256" customWidth="1"/>
    <col min="9" max="9" width="24.85546875" style="256" customWidth="1"/>
    <col min="10" max="10" width="16" style="256" customWidth="1"/>
    <col min="11" max="11" width="9.140625" style="256"/>
    <col min="12" max="12" width="12.7109375" style="256" customWidth="1"/>
    <col min="13" max="13" width="26" style="256" customWidth="1"/>
    <col min="14" max="14" width="17.140625" style="256" customWidth="1"/>
    <col min="15" max="15" width="14.140625" style="256" customWidth="1"/>
    <col min="16" max="17" width="9.140625" style="256"/>
    <col min="18" max="18" width="23" style="256" customWidth="1"/>
    <col min="19" max="19" width="9.140625" style="256"/>
    <col min="20" max="20" width="14.42578125" style="256" customWidth="1"/>
    <col min="21" max="21" width="9.140625" style="256"/>
    <col min="22" max="22" width="27.7109375" style="256" customWidth="1"/>
    <col min="23" max="24" width="20.85546875" style="256" customWidth="1"/>
    <col min="25" max="25" width="15.7109375" style="256" customWidth="1"/>
    <col min="26" max="26" width="11.42578125" style="256" customWidth="1"/>
    <col min="27" max="27" width="15.85546875" style="256" customWidth="1"/>
    <col min="28" max="28" width="18.7109375" style="256" customWidth="1"/>
    <col min="29" max="29" width="17" style="256" customWidth="1"/>
    <col min="30" max="30" width="9.140625" style="256"/>
    <col min="31" max="31" width="14.140625" style="256" customWidth="1"/>
    <col min="32" max="32" width="15.28515625" style="256" customWidth="1"/>
    <col min="33" max="34" width="9.140625" style="256"/>
    <col min="35" max="35" width="16" style="256" customWidth="1"/>
    <col min="36" max="36" width="22" style="256" customWidth="1"/>
    <col min="37" max="38" width="9.140625" style="256"/>
    <col min="39" max="39" width="9.42578125" style="256" bestFit="1" customWidth="1"/>
    <col min="40" max="16384" width="9.140625" style="256"/>
  </cols>
  <sheetData>
    <row r="2" spans="3:45" ht="15.75" thickBot="1" x14ac:dyDescent="0.3"/>
    <row r="3" spans="3:45" ht="15.75" thickBot="1" x14ac:dyDescent="0.3">
      <c r="C3" s="391" t="s">
        <v>98</v>
      </c>
      <c r="D3" s="392"/>
      <c r="E3" s="392"/>
      <c r="F3" s="392"/>
      <c r="G3" s="392"/>
      <c r="H3" s="392"/>
      <c r="I3" s="393"/>
    </row>
    <row r="4" spans="3:45" ht="15.75" thickBot="1" x14ac:dyDescent="0.3">
      <c r="C4" s="263"/>
      <c r="D4" s="264" t="s">
        <v>93</v>
      </c>
      <c r="E4" s="264" t="s">
        <v>94</v>
      </c>
      <c r="F4" s="264" t="s">
        <v>95</v>
      </c>
      <c r="G4" s="264" t="s">
        <v>96</v>
      </c>
      <c r="H4" s="264" t="s">
        <v>97</v>
      </c>
      <c r="I4" s="265" t="s">
        <v>19</v>
      </c>
      <c r="K4" s="391" t="s">
        <v>105</v>
      </c>
      <c r="L4" s="392"/>
      <c r="M4" s="392"/>
      <c r="N4" s="392"/>
      <c r="O4" s="392"/>
      <c r="P4" s="392"/>
      <c r="Q4" s="392"/>
      <c r="R4" s="393"/>
    </row>
    <row r="5" spans="3:45" ht="15.75" thickBot="1" x14ac:dyDescent="0.3">
      <c r="C5" s="270" t="s">
        <v>126</v>
      </c>
      <c r="D5" s="258">
        <f>F7</f>
        <v>3360.0000000000005</v>
      </c>
      <c r="E5" s="258">
        <f>E7-(G9-G7)*Parametry!H21</f>
        <v>407.40000000000009</v>
      </c>
      <c r="F5" s="258">
        <f>D5</f>
        <v>3360.0000000000005</v>
      </c>
      <c r="G5" s="258">
        <f>G9+(G9-G7)*Parametry!H21</f>
        <v>4777.7999999999993</v>
      </c>
      <c r="H5" s="258" t="s">
        <v>92</v>
      </c>
      <c r="I5" s="259">
        <v>70</v>
      </c>
      <c r="K5" s="263" t="s">
        <v>99</v>
      </c>
      <c r="L5" s="264" t="s">
        <v>100</v>
      </c>
      <c r="M5" s="264" t="s">
        <v>101</v>
      </c>
      <c r="N5" s="264" t="s">
        <v>102</v>
      </c>
      <c r="O5" s="264" t="s">
        <v>103</v>
      </c>
      <c r="P5" s="264" t="s">
        <v>97</v>
      </c>
      <c r="Q5" s="264" t="s">
        <v>19</v>
      </c>
      <c r="R5" s="265"/>
    </row>
    <row r="6" spans="3:45" ht="15.75" thickBot="1" x14ac:dyDescent="0.3">
      <c r="C6" s="271" t="s">
        <v>60</v>
      </c>
      <c r="D6" s="256">
        <v>0</v>
      </c>
      <c r="E6" s="256">
        <v>0</v>
      </c>
      <c r="F6" s="256">
        <v>0</v>
      </c>
      <c r="G6" s="256">
        <f>Parametry!E39*Parametry!E24+Parametry!E24-Parametry!E22/2*Parametry!E23/100</f>
        <v>3450</v>
      </c>
      <c r="H6" s="256" t="s">
        <v>9</v>
      </c>
      <c r="I6" s="261">
        <v>5</v>
      </c>
      <c r="K6" s="257" cm="1">
        <f t="array" ref="K6:L9">AP26:AQ29</f>
        <v>1521.5871760489447</v>
      </c>
      <c r="L6" s="258">
        <v>3504.3838580072338</v>
      </c>
      <c r="M6" s="258">
        <f>Parametry!J30</f>
        <v>15</v>
      </c>
      <c r="N6" s="258">
        <f>RADIANS(180)+$AR$7</f>
        <v>3.2114786552244357</v>
      </c>
      <c r="O6" s="258">
        <f>RADIANS(270)+$AR$7</f>
        <v>4.7822749820193318</v>
      </c>
      <c r="P6" s="258" t="s">
        <v>11</v>
      </c>
      <c r="Q6" s="258">
        <v>1</v>
      </c>
      <c r="R6" s="418" t="s">
        <v>104</v>
      </c>
      <c r="AF6" s="378" t="s">
        <v>90</v>
      </c>
      <c r="AG6" s="379"/>
      <c r="AH6" s="379"/>
      <c r="AI6" s="379"/>
      <c r="AJ6" s="379"/>
      <c r="AK6" s="379"/>
      <c r="AL6" s="379"/>
      <c r="AM6" s="379"/>
      <c r="AN6" s="379"/>
      <c r="AO6" s="379"/>
      <c r="AP6" s="379"/>
      <c r="AQ6" s="379"/>
      <c r="AR6" s="379"/>
      <c r="AS6" s="380"/>
    </row>
    <row r="7" spans="3:45" x14ac:dyDescent="0.25">
      <c r="C7" s="271" t="s">
        <v>61</v>
      </c>
      <c r="D7" s="256">
        <v>0</v>
      </c>
      <c r="E7" s="256">
        <f>Parametry!E39*Parametry!E24</f>
        <v>1500</v>
      </c>
      <c r="F7" s="256">
        <f>Parametry!E25*(1+Parametry!E40)</f>
        <v>3360.0000000000005</v>
      </c>
      <c r="G7" s="256">
        <f>E7</f>
        <v>1500</v>
      </c>
      <c r="H7" s="256" t="s">
        <v>9</v>
      </c>
      <c r="I7" s="261">
        <v>5</v>
      </c>
      <c r="K7" s="260">
        <v>1514.3249467681537</v>
      </c>
      <c r="L7" s="256">
        <v>3608.1299905899627</v>
      </c>
      <c r="M7" s="256">
        <f>Parametry!J30</f>
        <v>15</v>
      </c>
      <c r="N7" s="256">
        <f>RADIANS(90)+$AR$7</f>
        <v>1.6406823284295391</v>
      </c>
      <c r="O7" s="256">
        <f>RADIANS(180)+$AR$7</f>
        <v>3.2114786552244357</v>
      </c>
      <c r="P7" s="256" t="s">
        <v>11</v>
      </c>
      <c r="Q7" s="256">
        <v>1</v>
      </c>
      <c r="R7" s="420"/>
      <c r="W7" s="391" t="s">
        <v>117</v>
      </c>
      <c r="X7" s="393"/>
      <c r="AF7" s="302"/>
      <c r="AG7" s="303"/>
      <c r="AH7" s="303"/>
      <c r="AI7" s="303"/>
      <c r="AJ7" s="303"/>
      <c r="AK7" s="419" t="s">
        <v>86</v>
      </c>
      <c r="AL7" s="419"/>
      <c r="AM7" s="303">
        <f>D9+(F10-D9)*Parametry!O30</f>
        <v>1500</v>
      </c>
      <c r="AN7" s="303">
        <f>E9+(G10-E9)*Parametry!O30</f>
        <v>3555</v>
      </c>
      <c r="AO7" s="303"/>
      <c r="AP7" s="419" t="s">
        <v>89</v>
      </c>
      <c r="AQ7" s="419"/>
      <c r="AR7" s="303">
        <f>ATAN(Parametry!E23/100)</f>
        <v>6.9886001634642508E-2</v>
      </c>
      <c r="AS7" s="304"/>
    </row>
    <row r="8" spans="3:45" x14ac:dyDescent="0.25">
      <c r="C8" s="271" t="s">
        <v>62</v>
      </c>
      <c r="D8" s="256">
        <v>0</v>
      </c>
      <c r="E8" s="256">
        <f>G6</f>
        <v>3450</v>
      </c>
      <c r="F8" s="256">
        <f>Parametry!E25/2</f>
        <v>1500</v>
      </c>
      <c r="G8" s="256">
        <f>E7</f>
        <v>1500</v>
      </c>
      <c r="H8" s="256" t="s">
        <v>9</v>
      </c>
      <c r="I8" s="261">
        <v>5</v>
      </c>
      <c r="K8" s="260">
        <v>1478.4128239510553</v>
      </c>
      <c r="L8" s="256">
        <v>3605.6161419927662</v>
      </c>
      <c r="M8" s="256">
        <f>Parametry!J30</f>
        <v>15</v>
      </c>
      <c r="N8" s="256">
        <f>$AR$7</f>
        <v>6.9886001634642508E-2</v>
      </c>
      <c r="O8" s="256">
        <f>RADIANS(90)+$AR$7</f>
        <v>1.6406823284295391</v>
      </c>
      <c r="P8" s="256" t="s">
        <v>11</v>
      </c>
      <c r="Q8" s="256">
        <v>1</v>
      </c>
      <c r="R8" s="420"/>
      <c r="W8" s="260" t="s">
        <v>83</v>
      </c>
      <c r="X8" s="261" t="s">
        <v>84</v>
      </c>
      <c r="AF8" s="413" t="s">
        <v>85</v>
      </c>
      <c r="AG8" s="414"/>
      <c r="AH8" s="414"/>
      <c r="AI8" s="414"/>
      <c r="AJ8" s="283"/>
      <c r="AK8" s="414" t="s">
        <v>87</v>
      </c>
      <c r="AL8" s="414"/>
      <c r="AM8" s="414"/>
      <c r="AN8" s="414"/>
      <c r="AO8" s="283"/>
      <c r="AP8" s="414" t="s">
        <v>88</v>
      </c>
      <c r="AQ8" s="414"/>
      <c r="AR8" s="414"/>
      <c r="AS8" s="416"/>
    </row>
    <row r="9" spans="3:45" ht="15.75" thickBot="1" x14ac:dyDescent="0.3">
      <c r="C9" s="271" t="s">
        <v>65</v>
      </c>
      <c r="D9" s="256">
        <v>0</v>
      </c>
      <c r="E9" s="256">
        <f>E8</f>
        <v>3450</v>
      </c>
      <c r="F9" s="256">
        <f>F7</f>
        <v>3360.0000000000005</v>
      </c>
      <c r="G9" s="262">
        <f>G6+F9/100*Parametry!E23</f>
        <v>3685.2</v>
      </c>
      <c r="H9" s="256" t="s">
        <v>9</v>
      </c>
      <c r="I9" s="261">
        <v>5</v>
      </c>
      <c r="K9" s="263">
        <v>1485.6750532318463</v>
      </c>
      <c r="L9" s="264">
        <v>3501.8700094100373</v>
      </c>
      <c r="M9" s="264">
        <f>Parametry!J30</f>
        <v>15</v>
      </c>
      <c r="N9" s="264">
        <f>RADIANS(270)+$AR$7</f>
        <v>4.7822749820193318</v>
      </c>
      <c r="O9" s="264">
        <f>$AR$7</f>
        <v>6.9886001634642508E-2</v>
      </c>
      <c r="P9" s="264" t="s">
        <v>11</v>
      </c>
      <c r="Q9" s="264">
        <v>1</v>
      </c>
      <c r="R9" s="421"/>
      <c r="W9" s="263">
        <f>D6</f>
        <v>0</v>
      </c>
      <c r="X9" s="265">
        <f>G6-Parametry!P5</f>
        <v>3096</v>
      </c>
      <c r="AF9" s="260" t="s">
        <v>83</v>
      </c>
      <c r="AG9" s="256" t="s">
        <v>84</v>
      </c>
      <c r="AH9" s="256" t="s">
        <v>83</v>
      </c>
      <c r="AI9" s="256" t="s">
        <v>84</v>
      </c>
      <c r="AK9" s="256" t="s">
        <v>83</v>
      </c>
      <c r="AL9" s="256" t="s">
        <v>84</v>
      </c>
      <c r="AM9" s="256" t="s">
        <v>83</v>
      </c>
      <c r="AN9" s="256" t="s">
        <v>84</v>
      </c>
      <c r="AP9" s="256" t="s">
        <v>83</v>
      </c>
      <c r="AQ9" s="256" t="s">
        <v>84</v>
      </c>
      <c r="AR9" s="256" t="s">
        <v>83</v>
      </c>
      <c r="AS9" s="261" t="s">
        <v>84</v>
      </c>
    </row>
    <row r="10" spans="3:45" x14ac:dyDescent="0.25">
      <c r="C10" s="271" t="s">
        <v>63</v>
      </c>
      <c r="D10" s="256">
        <f>F8</f>
        <v>1500</v>
      </c>
      <c r="E10" s="256">
        <f>G8</f>
        <v>1500</v>
      </c>
      <c r="F10" s="256">
        <f>Parametry!E25</f>
        <v>3000</v>
      </c>
      <c r="G10" s="256">
        <f>G6+Parametry!E25/100*Parametry!E23</f>
        <v>3660</v>
      </c>
      <c r="H10" s="256" t="s">
        <v>9</v>
      </c>
      <c r="I10" s="261">
        <v>5</v>
      </c>
      <c r="K10" s="257">
        <f>W33+$W$14</f>
        <v>2538.0000000000005</v>
      </c>
      <c r="L10" s="258">
        <f>X33+$X$14</f>
        <v>1552</v>
      </c>
      <c r="M10" s="258">
        <f>Parametry!$J$31</f>
        <v>15</v>
      </c>
      <c r="N10" s="258">
        <f>RADIANS(90)</f>
        <v>1.5707963267948966</v>
      </c>
      <c r="O10" s="258">
        <f>RADIANS(180)</f>
        <v>3.1415926535897931</v>
      </c>
      <c r="P10" s="258" t="s">
        <v>11</v>
      </c>
      <c r="Q10" s="258">
        <v>1</v>
      </c>
      <c r="R10" s="418" t="s">
        <v>122</v>
      </c>
      <c r="AF10" s="260">
        <f>Parametry!H30/2</f>
        <v>3</v>
      </c>
      <c r="AG10" s="256">
        <f>-Parametry!F30/2+Parametry!I30+Parametry!J30</f>
        <v>-52</v>
      </c>
      <c r="AH10" s="256">
        <f>AF10</f>
        <v>3</v>
      </c>
      <c r="AI10" s="256">
        <f>-AG10</f>
        <v>52</v>
      </c>
      <c r="AK10" s="256">
        <f t="shared" ref="AK10:AK24" si="0">AF10+$AM$7</f>
        <v>1503</v>
      </c>
      <c r="AL10" s="256">
        <f t="shared" ref="AL10:AL24" si="1">AG10+$AN$7</f>
        <v>3503</v>
      </c>
      <c r="AM10" s="256">
        <f t="shared" ref="AM10:AM24" si="2">AH10+$AM$7</f>
        <v>1503</v>
      </c>
      <c r="AN10" s="256">
        <f t="shared" ref="AN10:AN24" si="3">AI10+$AN$7</f>
        <v>3607</v>
      </c>
      <c r="AP10" s="256">
        <f t="shared" ref="AP10:AP24" si="4">$AM$7+AF10*COS($AR$7)-AG10*SIN($AR$7)</f>
        <v>1506.6237915418203</v>
      </c>
      <c r="AQ10" s="256">
        <f t="shared" ref="AQ10:AQ24" si="5">$AN$7+AF10*SIN($AR$7)+AG10*COS($AR$7)</f>
        <v>3503.3364210917352</v>
      </c>
      <c r="AR10" s="256">
        <f t="shared" ref="AR10:AR24" si="6">$AM$7+AH10*COS($AR$7)-AI10*SIN($AR$7)</f>
        <v>1499.3615622610293</v>
      </c>
      <c r="AS10" s="261">
        <f t="shared" ref="AS10:AS24" si="7">$AN$7+AH10*SIN($AR$7)+AI10*COS($AR$7)</f>
        <v>3607.0825536744642</v>
      </c>
    </row>
    <row r="11" spans="3:45" ht="15.75" thickBot="1" x14ac:dyDescent="0.3">
      <c r="C11" s="272" t="s">
        <v>64</v>
      </c>
      <c r="D11" s="264">
        <f>F10</f>
        <v>3000</v>
      </c>
      <c r="E11" s="264">
        <f>G10</f>
        <v>3660</v>
      </c>
      <c r="F11" s="264">
        <f>F9</f>
        <v>3360.0000000000005</v>
      </c>
      <c r="G11" s="264">
        <f>G10-((F11-F10)*(G10-E10)/D10)</f>
        <v>3141.5999999999995</v>
      </c>
      <c r="H11" s="264" t="s">
        <v>9</v>
      </c>
      <c r="I11" s="265">
        <v>5</v>
      </c>
      <c r="K11" s="260">
        <f>W34+$W$14</f>
        <v>2502.0000000000005</v>
      </c>
      <c r="L11" s="256">
        <f>X34+$X$14</f>
        <v>1552</v>
      </c>
      <c r="M11" s="256">
        <f>Parametry!$J$31</f>
        <v>15</v>
      </c>
      <c r="N11" s="256">
        <f>RADIANS(0)</f>
        <v>0</v>
      </c>
      <c r="O11" s="256">
        <f>RADIANS(90)</f>
        <v>1.5707963267948966</v>
      </c>
      <c r="P11" s="256" t="s">
        <v>11</v>
      </c>
      <c r="Q11" s="256">
        <v>1</v>
      </c>
      <c r="R11" s="420"/>
      <c r="AF11" s="260">
        <f>AH10+Parametry!J30</f>
        <v>18</v>
      </c>
      <c r="AG11" s="256">
        <f>AI10+Parametry!J30</f>
        <v>67</v>
      </c>
      <c r="AH11" s="256">
        <f>Parametry!G30/2</f>
        <v>80</v>
      </c>
      <c r="AI11" s="256">
        <f>AG11</f>
        <v>67</v>
      </c>
      <c r="AK11" s="256">
        <f t="shared" si="0"/>
        <v>1518</v>
      </c>
      <c r="AL11" s="256">
        <f t="shared" si="1"/>
        <v>3622</v>
      </c>
      <c r="AM11" s="256">
        <f t="shared" si="2"/>
        <v>1580</v>
      </c>
      <c r="AN11" s="256">
        <f t="shared" si="3"/>
        <v>3622</v>
      </c>
      <c r="AP11" s="256">
        <f t="shared" si="4"/>
        <v>1513.2775098526549</v>
      </c>
      <c r="AQ11" s="256">
        <f t="shared" si="5"/>
        <v>3623.0933750970871</v>
      </c>
      <c r="AR11" s="256">
        <f t="shared" si="6"/>
        <v>1575.1261658154358</v>
      </c>
      <c r="AS11" s="261">
        <f t="shared" si="7"/>
        <v>3627.4227810144821</v>
      </c>
    </row>
    <row r="12" spans="3:45" ht="27.75" customHeight="1" x14ac:dyDescent="0.25">
      <c r="C12" s="403" t="s">
        <v>90</v>
      </c>
      <c r="D12" s="256" cm="1">
        <f t="array" ref="D12:G26">AP10:AS24</f>
        <v>1506.6237915418203</v>
      </c>
      <c r="E12" s="256">
        <v>3503.3364210917352</v>
      </c>
      <c r="F12" s="256">
        <v>1499.3615622610293</v>
      </c>
      <c r="G12" s="256">
        <v>3607.0825536744642</v>
      </c>
      <c r="H12" s="256" t="s">
        <v>11</v>
      </c>
      <c r="I12" s="261">
        <v>1</v>
      </c>
      <c r="K12" s="260">
        <f>W35+$W$14</f>
        <v>2538.0000000000005</v>
      </c>
      <c r="L12" s="256">
        <f>X35+$X$14</f>
        <v>1448</v>
      </c>
      <c r="M12" s="256">
        <f>Parametry!$J$31</f>
        <v>15</v>
      </c>
      <c r="N12" s="256">
        <f>RADIANS(180)</f>
        <v>3.1415926535897931</v>
      </c>
      <c r="O12" s="256">
        <f>RADIANS(270)</f>
        <v>4.7123889803846897</v>
      </c>
      <c r="P12" s="256" t="s">
        <v>11</v>
      </c>
      <c r="Q12" s="256">
        <v>1</v>
      </c>
      <c r="R12" s="420"/>
      <c r="W12" s="402" t="s">
        <v>121</v>
      </c>
      <c r="X12" s="418"/>
      <c r="AF12" s="260">
        <f t="shared" ref="AF12:AG15" si="8">AH11</f>
        <v>80</v>
      </c>
      <c r="AG12" s="256">
        <f t="shared" si="8"/>
        <v>67</v>
      </c>
      <c r="AH12" s="256">
        <f>AF12</f>
        <v>80</v>
      </c>
      <c r="AI12" s="256">
        <f>Parametry!I30+'Obliczenia i dane'!AG12</f>
        <v>76</v>
      </c>
      <c r="AK12" s="256">
        <f t="shared" si="0"/>
        <v>1580</v>
      </c>
      <c r="AL12" s="256">
        <f t="shared" si="1"/>
        <v>3622</v>
      </c>
      <c r="AM12" s="256">
        <f t="shared" si="2"/>
        <v>1580</v>
      </c>
      <c r="AN12" s="256">
        <f t="shared" si="3"/>
        <v>3631</v>
      </c>
      <c r="AP12" s="256">
        <f t="shared" si="4"/>
        <v>1575.1261658154358</v>
      </c>
      <c r="AQ12" s="256">
        <f t="shared" si="5"/>
        <v>3627.4227810144821</v>
      </c>
      <c r="AR12" s="256">
        <f t="shared" si="6"/>
        <v>1574.4977036661367</v>
      </c>
      <c r="AS12" s="261">
        <f t="shared" si="7"/>
        <v>3636.4008117187568</v>
      </c>
    </row>
    <row r="13" spans="3:45" ht="15.75" thickBot="1" x14ac:dyDescent="0.3">
      <c r="C13" s="403"/>
      <c r="D13" s="256">
        <v>1513.2775098526549</v>
      </c>
      <c r="E13" s="256">
        <v>3623.0933750970871</v>
      </c>
      <c r="F13" s="256">
        <v>1575.1261658154358</v>
      </c>
      <c r="G13" s="256">
        <v>3627.4227810144821</v>
      </c>
      <c r="H13" s="256" t="s">
        <v>11</v>
      </c>
      <c r="I13" s="261">
        <v>1</v>
      </c>
      <c r="K13" s="263">
        <f>W36+$W$14</f>
        <v>2502.0000000000005</v>
      </c>
      <c r="L13" s="264">
        <f>X36+$X$14</f>
        <v>1448</v>
      </c>
      <c r="M13" s="264">
        <f>Parametry!$J$31</f>
        <v>15</v>
      </c>
      <c r="N13" s="264">
        <f>RADIANS(270)</f>
        <v>4.7123889803846897</v>
      </c>
      <c r="O13" s="264">
        <f>RADIANS(0)</f>
        <v>0</v>
      </c>
      <c r="P13" s="264" t="s">
        <v>11</v>
      </c>
      <c r="Q13" s="264">
        <v>1</v>
      </c>
      <c r="R13" s="421"/>
      <c r="W13" s="260" t="s">
        <v>83</v>
      </c>
      <c r="X13" s="261" t="s">
        <v>84</v>
      </c>
      <c r="AF13" s="260">
        <f t="shared" si="8"/>
        <v>80</v>
      </c>
      <c r="AG13" s="256">
        <f t="shared" si="8"/>
        <v>76</v>
      </c>
      <c r="AH13" s="256">
        <f>AF13-Parametry!G30</f>
        <v>-80</v>
      </c>
      <c r="AI13" s="256">
        <f>AG13</f>
        <v>76</v>
      </c>
      <c r="AK13" s="256">
        <f t="shared" si="0"/>
        <v>1580</v>
      </c>
      <c r="AL13" s="256">
        <f t="shared" si="1"/>
        <v>3631</v>
      </c>
      <c r="AM13" s="256">
        <f t="shared" si="2"/>
        <v>1420</v>
      </c>
      <c r="AN13" s="256">
        <f t="shared" si="3"/>
        <v>3631</v>
      </c>
      <c r="AP13" s="256">
        <f t="shared" si="4"/>
        <v>1574.4977036661367</v>
      </c>
      <c r="AQ13" s="256">
        <f t="shared" si="5"/>
        <v>3636.4008117187568</v>
      </c>
      <c r="AR13" s="256">
        <f t="shared" si="6"/>
        <v>1414.8882689234765</v>
      </c>
      <c r="AS13" s="261">
        <f t="shared" si="7"/>
        <v>3625.2281512867703</v>
      </c>
    </row>
    <row r="14" spans="3:45" ht="15.75" thickBot="1" x14ac:dyDescent="0.3">
      <c r="C14" s="403"/>
      <c r="D14" s="256">
        <v>1575.1261658154358</v>
      </c>
      <c r="E14" s="256">
        <v>3627.4227810144821</v>
      </c>
      <c r="F14" s="256">
        <v>1574.4977036661367</v>
      </c>
      <c r="G14" s="256">
        <v>3636.4008117187568</v>
      </c>
      <c r="H14" s="256" t="s">
        <v>11</v>
      </c>
      <c r="I14" s="261">
        <v>1</v>
      </c>
      <c r="K14" s="257">
        <f>F272</f>
        <v>154</v>
      </c>
      <c r="L14" s="258">
        <f>E273</f>
        <v>1340</v>
      </c>
      <c r="M14" s="258">
        <f>Parametry!J43</f>
        <v>6</v>
      </c>
      <c r="N14" s="258">
        <f>RADIANS(270)</f>
        <v>4.7123889803846897</v>
      </c>
      <c r="O14" s="258">
        <f>RADIANS(0)</f>
        <v>0</v>
      </c>
      <c r="P14" s="258" t="s">
        <v>14</v>
      </c>
      <c r="Q14" s="258">
        <v>1</v>
      </c>
      <c r="R14" s="418" t="s">
        <v>332</v>
      </c>
      <c r="W14" s="260">
        <f>Parametry!O31*('Obliczenia i dane'!F7-'Obliczenia i dane'!D7)</f>
        <v>2520.0000000000005</v>
      </c>
      <c r="X14" s="261">
        <f>E7</f>
        <v>1500</v>
      </c>
      <c r="AF14" s="260">
        <f t="shared" si="8"/>
        <v>-80</v>
      </c>
      <c r="AG14" s="256">
        <f t="shared" si="8"/>
        <v>76</v>
      </c>
      <c r="AH14" s="256">
        <f>AF14</f>
        <v>-80</v>
      </c>
      <c r="AI14" s="256">
        <f>AG14-Parametry!I30</f>
        <v>67</v>
      </c>
      <c r="AK14" s="256">
        <f t="shared" si="0"/>
        <v>1420</v>
      </c>
      <c r="AL14" s="256">
        <f t="shared" si="1"/>
        <v>3631</v>
      </c>
      <c r="AM14" s="256">
        <f t="shared" si="2"/>
        <v>1420</v>
      </c>
      <c r="AN14" s="256">
        <f t="shared" si="3"/>
        <v>3622</v>
      </c>
      <c r="AP14" s="256">
        <f t="shared" si="4"/>
        <v>1414.8882689234765</v>
      </c>
      <c r="AQ14" s="256">
        <f t="shared" si="5"/>
        <v>3625.2281512867703</v>
      </c>
      <c r="AR14" s="256">
        <f t="shared" si="6"/>
        <v>1415.5167310727757</v>
      </c>
      <c r="AS14" s="261">
        <f t="shared" si="7"/>
        <v>3616.2501205824956</v>
      </c>
    </row>
    <row r="15" spans="3:45" x14ac:dyDescent="0.25">
      <c r="C15" s="403"/>
      <c r="D15" s="256">
        <v>1574.4977036661367</v>
      </c>
      <c r="E15" s="256">
        <v>3636.4008117187568</v>
      </c>
      <c r="F15" s="256">
        <v>1414.8882689234765</v>
      </c>
      <c r="G15" s="256">
        <v>3625.2281512867703</v>
      </c>
      <c r="H15" s="256" t="s">
        <v>11</v>
      </c>
      <c r="I15" s="261">
        <v>1</v>
      </c>
      <c r="K15" s="260">
        <f>D274</f>
        <v>172</v>
      </c>
      <c r="L15" s="256">
        <f>G273</f>
        <v>1402</v>
      </c>
      <c r="M15" s="256">
        <f>Parametry!I43</f>
        <v>12</v>
      </c>
      <c r="N15" s="256">
        <f>RADIANS(90)</f>
        <v>1.5707963267948966</v>
      </c>
      <c r="O15" s="256">
        <f>RADIANS(180)</f>
        <v>3.1415926535897931</v>
      </c>
      <c r="P15" s="256" t="s">
        <v>14</v>
      </c>
      <c r="Q15" s="256">
        <v>1</v>
      </c>
      <c r="R15" s="420"/>
      <c r="W15" s="391" t="s">
        <v>124</v>
      </c>
      <c r="X15" s="392"/>
      <c r="Y15" s="392"/>
      <c r="Z15" s="393"/>
      <c r="AF15" s="260">
        <f t="shared" si="8"/>
        <v>-80</v>
      </c>
      <c r="AG15" s="256">
        <f t="shared" si="8"/>
        <v>67</v>
      </c>
      <c r="AH15" s="256">
        <f>-Parametry!H30/2-Parametry!J30</f>
        <v>-18</v>
      </c>
      <c r="AI15" s="256">
        <f>AG15</f>
        <v>67</v>
      </c>
      <c r="AK15" s="256">
        <f t="shared" si="0"/>
        <v>1420</v>
      </c>
      <c r="AL15" s="256">
        <f t="shared" si="1"/>
        <v>3622</v>
      </c>
      <c r="AM15" s="256">
        <f t="shared" si="2"/>
        <v>1482</v>
      </c>
      <c r="AN15" s="256">
        <f t="shared" si="3"/>
        <v>3622</v>
      </c>
      <c r="AP15" s="256">
        <f t="shared" si="4"/>
        <v>1415.5167310727757</v>
      </c>
      <c r="AQ15" s="256">
        <f t="shared" si="5"/>
        <v>3616.2501205824956</v>
      </c>
      <c r="AR15" s="256">
        <f t="shared" si="6"/>
        <v>1477.3653870355565</v>
      </c>
      <c r="AS15" s="261">
        <f t="shared" si="7"/>
        <v>3620.5795264998906</v>
      </c>
    </row>
    <row r="16" spans="3:45" ht="15.75" thickBot="1" x14ac:dyDescent="0.3">
      <c r="C16" s="403"/>
      <c r="D16" s="256">
        <v>1414.8882689234765</v>
      </c>
      <c r="E16" s="256">
        <v>3625.2281512867703</v>
      </c>
      <c r="F16" s="256">
        <v>1415.5167310727757</v>
      </c>
      <c r="G16" s="256">
        <v>3616.2501205824956</v>
      </c>
      <c r="H16" s="256" t="s">
        <v>11</v>
      </c>
      <c r="I16" s="261">
        <v>1</v>
      </c>
      <c r="K16" s="263">
        <f>F274</f>
        <v>294</v>
      </c>
      <c r="L16" s="264">
        <f>E275</f>
        <v>1420</v>
      </c>
      <c r="M16" s="264">
        <f>M14</f>
        <v>6</v>
      </c>
      <c r="N16" s="264">
        <f>RADIANS(270)</f>
        <v>4.7123889803846897</v>
      </c>
      <c r="O16" s="264">
        <f>RADIANS(0)</f>
        <v>0</v>
      </c>
      <c r="P16" s="264" t="s">
        <v>14</v>
      </c>
      <c r="Q16" s="264">
        <v>1</v>
      </c>
      <c r="R16" s="421"/>
      <c r="W16" s="260" t="s">
        <v>83</v>
      </c>
      <c r="X16" s="256" t="s">
        <v>84</v>
      </c>
      <c r="Y16" s="256" t="s">
        <v>83</v>
      </c>
      <c r="Z16" s="261" t="s">
        <v>84</v>
      </c>
      <c r="AF16" s="260">
        <f>-AF10</f>
        <v>-3</v>
      </c>
      <c r="AG16" s="256">
        <f>AI10</f>
        <v>52</v>
      </c>
      <c r="AH16" s="256">
        <f>AF16</f>
        <v>-3</v>
      </c>
      <c r="AI16" s="256">
        <f>AG10</f>
        <v>-52</v>
      </c>
      <c r="AK16" s="256">
        <f t="shared" si="0"/>
        <v>1497</v>
      </c>
      <c r="AL16" s="256">
        <f t="shared" si="1"/>
        <v>3607</v>
      </c>
      <c r="AM16" s="256">
        <f t="shared" si="2"/>
        <v>1497</v>
      </c>
      <c r="AN16" s="256">
        <f t="shared" si="3"/>
        <v>3503</v>
      </c>
      <c r="AP16" s="256">
        <f t="shared" si="4"/>
        <v>1493.3762084581797</v>
      </c>
      <c r="AQ16" s="256">
        <f t="shared" si="5"/>
        <v>3606.6635789082648</v>
      </c>
      <c r="AR16" s="256">
        <f t="shared" si="6"/>
        <v>1500.6384377389707</v>
      </c>
      <c r="AS16" s="261">
        <f t="shared" si="7"/>
        <v>3502.9174463255358</v>
      </c>
    </row>
    <row r="17" spans="3:46" x14ac:dyDescent="0.25">
      <c r="C17" s="403"/>
      <c r="D17" s="256">
        <v>1415.5167310727757</v>
      </c>
      <c r="E17" s="256">
        <v>3616.2501205824956</v>
      </c>
      <c r="F17" s="256">
        <v>1477.3653870355565</v>
      </c>
      <c r="G17" s="256">
        <v>3620.5795264998906</v>
      </c>
      <c r="H17" s="256" t="s">
        <v>11</v>
      </c>
      <c r="I17" s="261">
        <v>1</v>
      </c>
      <c r="W17" s="260">
        <f>Parametry!H31/2</f>
        <v>3</v>
      </c>
      <c r="X17" s="256">
        <f>-Parametry!F31/2+Parametry!I31+Parametry!J31</f>
        <v>-52</v>
      </c>
      <c r="Y17" s="256">
        <f>W17</f>
        <v>3</v>
      </c>
      <c r="Z17" s="261">
        <f>-X17</f>
        <v>52</v>
      </c>
      <c r="AF17" s="260">
        <f>AH15</f>
        <v>-18</v>
      </c>
      <c r="AG17" s="256">
        <f>-AI15</f>
        <v>-67</v>
      </c>
      <c r="AH17" s="256">
        <f>AF15</f>
        <v>-80</v>
      </c>
      <c r="AI17" s="256">
        <f>-AG15</f>
        <v>-67</v>
      </c>
      <c r="AK17" s="256">
        <f t="shared" si="0"/>
        <v>1482</v>
      </c>
      <c r="AL17" s="256">
        <f t="shared" si="1"/>
        <v>3488</v>
      </c>
      <c r="AM17" s="256">
        <f t="shared" si="2"/>
        <v>1420</v>
      </c>
      <c r="AN17" s="256">
        <f t="shared" si="3"/>
        <v>3488</v>
      </c>
      <c r="AP17" s="256">
        <f t="shared" si="4"/>
        <v>1486.7224901473451</v>
      </c>
      <c r="AQ17" s="256">
        <f t="shared" si="5"/>
        <v>3486.9066249029129</v>
      </c>
      <c r="AR17" s="256">
        <f t="shared" si="6"/>
        <v>1424.8738341845642</v>
      </c>
      <c r="AS17" s="261">
        <f t="shared" si="7"/>
        <v>3482.5772189855179</v>
      </c>
    </row>
    <row r="18" spans="3:46" ht="15.75" thickBot="1" x14ac:dyDescent="0.3">
      <c r="C18" s="403"/>
      <c r="D18" s="256">
        <v>1493.3762084581797</v>
      </c>
      <c r="E18" s="256">
        <v>3606.6635789082648</v>
      </c>
      <c r="F18" s="256">
        <v>1500.6384377389707</v>
      </c>
      <c r="G18" s="256">
        <v>3502.9174463255358</v>
      </c>
      <c r="H18" s="256" t="s">
        <v>11</v>
      </c>
      <c r="I18" s="261">
        <v>1</v>
      </c>
      <c r="W18" s="260">
        <f>-W17</f>
        <v>-3</v>
      </c>
      <c r="X18" s="256">
        <f>X17</f>
        <v>-52</v>
      </c>
      <c r="Y18" s="256">
        <f>W18</f>
        <v>-3</v>
      </c>
      <c r="Z18" s="261">
        <f>Z17</f>
        <v>52</v>
      </c>
      <c r="AF18" s="260">
        <f t="shared" ref="AF18:AG21" si="9">AH17</f>
        <v>-80</v>
      </c>
      <c r="AG18" s="256">
        <f t="shared" si="9"/>
        <v>-67</v>
      </c>
      <c r="AH18" s="256">
        <f>AF18</f>
        <v>-80</v>
      </c>
      <c r="AI18" s="256">
        <f>-AG14</f>
        <v>-76</v>
      </c>
      <c r="AK18" s="256">
        <f t="shared" si="0"/>
        <v>1420</v>
      </c>
      <c r="AL18" s="256">
        <f t="shared" si="1"/>
        <v>3488</v>
      </c>
      <c r="AM18" s="256">
        <f t="shared" si="2"/>
        <v>1420</v>
      </c>
      <c r="AN18" s="256">
        <f t="shared" si="3"/>
        <v>3479</v>
      </c>
      <c r="AP18" s="256">
        <f t="shared" si="4"/>
        <v>1424.8738341845642</v>
      </c>
      <c r="AQ18" s="256">
        <f t="shared" si="5"/>
        <v>3482.5772189855179</v>
      </c>
      <c r="AR18" s="256">
        <f t="shared" si="6"/>
        <v>1425.5022963338633</v>
      </c>
      <c r="AS18" s="261">
        <f t="shared" si="7"/>
        <v>3473.5991882812432</v>
      </c>
    </row>
    <row r="19" spans="3:46" x14ac:dyDescent="0.25">
      <c r="C19" s="403"/>
      <c r="D19" s="256">
        <v>1486.7224901473451</v>
      </c>
      <c r="E19" s="256">
        <v>3486.9066249029129</v>
      </c>
      <c r="F19" s="256">
        <v>1424.8738341845642</v>
      </c>
      <c r="G19" s="256">
        <v>3482.5772189855179</v>
      </c>
      <c r="H19" s="256" t="s">
        <v>11</v>
      </c>
      <c r="I19" s="261">
        <v>1</v>
      </c>
      <c r="M19" s="391" t="s">
        <v>198</v>
      </c>
      <c r="N19" s="392"/>
      <c r="O19" s="392"/>
      <c r="P19" s="392"/>
      <c r="Q19" s="392"/>
      <c r="R19" s="392"/>
      <c r="S19" s="392"/>
      <c r="T19" s="393"/>
      <c r="W19" s="260">
        <f>Parametry!H31/2+Parametry!J31</f>
        <v>18</v>
      </c>
      <c r="X19" s="256">
        <f>Z18+Parametry!J31</f>
        <v>67</v>
      </c>
      <c r="Y19" s="256">
        <f>Parametry!G31/2</f>
        <v>80</v>
      </c>
      <c r="Z19" s="261">
        <f>X19</f>
        <v>67</v>
      </c>
      <c r="AF19" s="260">
        <f t="shared" si="9"/>
        <v>-80</v>
      </c>
      <c r="AG19" s="256">
        <f t="shared" si="9"/>
        <v>-76</v>
      </c>
      <c r="AH19" s="256">
        <f>-AF19</f>
        <v>80</v>
      </c>
      <c r="AI19" s="256">
        <f>AG19</f>
        <v>-76</v>
      </c>
      <c r="AK19" s="256">
        <f t="shared" si="0"/>
        <v>1420</v>
      </c>
      <c r="AL19" s="256">
        <f t="shared" si="1"/>
        <v>3479</v>
      </c>
      <c r="AM19" s="256">
        <f t="shared" si="2"/>
        <v>1580</v>
      </c>
      <c r="AN19" s="256">
        <f t="shared" si="3"/>
        <v>3479</v>
      </c>
      <c r="AP19" s="256">
        <f t="shared" si="4"/>
        <v>1425.5022963338633</v>
      </c>
      <c r="AQ19" s="256">
        <f t="shared" si="5"/>
        <v>3473.5991882812432</v>
      </c>
      <c r="AR19" s="256">
        <f t="shared" si="6"/>
        <v>1585.1117310765235</v>
      </c>
      <c r="AS19" s="261">
        <f t="shared" si="7"/>
        <v>3484.7718487132297</v>
      </c>
    </row>
    <row r="20" spans="3:46" x14ac:dyDescent="0.25">
      <c r="C20" s="403"/>
      <c r="D20" s="256">
        <v>1424.8738341845642</v>
      </c>
      <c r="E20" s="256">
        <v>3482.5772189855179</v>
      </c>
      <c r="F20" s="256">
        <v>1425.5022963338633</v>
      </c>
      <c r="G20" s="256">
        <v>3473.5991882812432</v>
      </c>
      <c r="H20" s="256" t="s">
        <v>11</v>
      </c>
      <c r="I20" s="261">
        <v>1</v>
      </c>
      <c r="M20" s="260"/>
      <c r="N20" s="283" t="s">
        <v>170</v>
      </c>
      <c r="O20" s="283" t="s">
        <v>67</v>
      </c>
      <c r="T20" s="261"/>
      <c r="W20" s="260">
        <f>W19</f>
        <v>18</v>
      </c>
      <c r="X20" s="256">
        <f>-X19</f>
        <v>-67</v>
      </c>
      <c r="Y20" s="256">
        <f>Y19</f>
        <v>80</v>
      </c>
      <c r="Z20" s="261">
        <f>X20</f>
        <v>-67</v>
      </c>
      <c r="AF20" s="260">
        <f t="shared" si="9"/>
        <v>80</v>
      </c>
      <c r="AG20" s="256">
        <f t="shared" si="9"/>
        <v>-76</v>
      </c>
      <c r="AH20" s="256">
        <f>AF20</f>
        <v>80</v>
      </c>
      <c r="AI20" s="256">
        <f>AG18</f>
        <v>-67</v>
      </c>
      <c r="AK20" s="256">
        <f t="shared" si="0"/>
        <v>1580</v>
      </c>
      <c r="AL20" s="256">
        <f t="shared" si="1"/>
        <v>3479</v>
      </c>
      <c r="AM20" s="256">
        <f t="shared" si="2"/>
        <v>1580</v>
      </c>
      <c r="AN20" s="256">
        <f t="shared" si="3"/>
        <v>3488</v>
      </c>
      <c r="AP20" s="256">
        <f t="shared" si="4"/>
        <v>1585.1117310765235</v>
      </c>
      <c r="AQ20" s="256">
        <f t="shared" si="5"/>
        <v>3484.7718487132297</v>
      </c>
      <c r="AR20" s="256">
        <f t="shared" si="6"/>
        <v>1584.4832689272243</v>
      </c>
      <c r="AS20" s="261">
        <f t="shared" si="7"/>
        <v>3493.7498794175044</v>
      </c>
    </row>
    <row r="21" spans="3:46" x14ac:dyDescent="0.25">
      <c r="C21" s="403"/>
      <c r="D21" s="256">
        <v>1425.5022963338633</v>
      </c>
      <c r="E21" s="256">
        <v>3473.5991882812432</v>
      </c>
      <c r="F21" s="256">
        <v>1585.1117310765235</v>
      </c>
      <c r="G21" s="256">
        <v>3484.7718487132297</v>
      </c>
      <c r="H21" s="256" t="s">
        <v>11</v>
      </c>
      <c r="I21" s="261">
        <v>1</v>
      </c>
      <c r="M21" s="260" t="s">
        <v>212</v>
      </c>
      <c r="N21" s="256">
        <f>(G8-E8)/(F8-D8)</f>
        <v>-1.3</v>
      </c>
      <c r="O21" s="256">
        <f>G8-N21*F8</f>
        <v>3450</v>
      </c>
      <c r="T21" s="261"/>
      <c r="W21" s="260">
        <f>W18-Parametry!J31</f>
        <v>-18</v>
      </c>
      <c r="X21" s="256">
        <f>X19</f>
        <v>67</v>
      </c>
      <c r="Y21" s="256">
        <f>-Parametry!G31/2</f>
        <v>-80</v>
      </c>
      <c r="Z21" s="261">
        <f>X21</f>
        <v>67</v>
      </c>
      <c r="AF21" s="260">
        <f t="shared" si="9"/>
        <v>80</v>
      </c>
      <c r="AG21" s="256">
        <f t="shared" si="9"/>
        <v>-67</v>
      </c>
      <c r="AH21" s="256">
        <f>AF11</f>
        <v>18</v>
      </c>
      <c r="AI21" s="256">
        <f>AG21</f>
        <v>-67</v>
      </c>
      <c r="AK21" s="256">
        <f t="shared" si="0"/>
        <v>1580</v>
      </c>
      <c r="AL21" s="256">
        <f t="shared" si="1"/>
        <v>3488</v>
      </c>
      <c r="AM21" s="256">
        <f t="shared" si="2"/>
        <v>1518</v>
      </c>
      <c r="AN21" s="256">
        <f t="shared" si="3"/>
        <v>3488</v>
      </c>
      <c r="AP21" s="256">
        <f t="shared" si="4"/>
        <v>1584.4832689272243</v>
      </c>
      <c r="AQ21" s="256">
        <f t="shared" si="5"/>
        <v>3493.7498794175044</v>
      </c>
      <c r="AR21" s="256">
        <f t="shared" si="6"/>
        <v>1522.6346129644435</v>
      </c>
      <c r="AS21" s="261">
        <f t="shared" si="7"/>
        <v>3489.4204735001094</v>
      </c>
    </row>
    <row r="22" spans="3:46" x14ac:dyDescent="0.25">
      <c r="C22" s="403"/>
      <c r="D22" s="256">
        <v>1585.1117310765235</v>
      </c>
      <c r="E22" s="256">
        <v>3484.7718487132297</v>
      </c>
      <c r="F22" s="256">
        <v>1584.4832689272243</v>
      </c>
      <c r="G22" s="256">
        <v>3493.7498794175044</v>
      </c>
      <c r="H22" s="256" t="s">
        <v>11</v>
      </c>
      <c r="I22" s="261">
        <v>1</v>
      </c>
      <c r="M22" s="260" t="s">
        <v>281</v>
      </c>
      <c r="N22" s="256">
        <f>(G79-E79)/(F79-D79)</f>
        <v>6.999999999999966E-2</v>
      </c>
      <c r="O22" s="256">
        <f>G79-F79*N22</f>
        <v>3373.8140275378728</v>
      </c>
      <c r="T22" s="261"/>
      <c r="W22" s="260">
        <f>W21</f>
        <v>-18</v>
      </c>
      <c r="X22" s="256">
        <f>-X21</f>
        <v>-67</v>
      </c>
      <c r="Y22" s="256">
        <f>Y21</f>
        <v>-80</v>
      </c>
      <c r="Z22" s="261">
        <f>-Z21</f>
        <v>-67</v>
      </c>
      <c r="AF22" s="260">
        <f>Parametry!G30/2+Parametry!G30*Parametry!P30</f>
        <v>144</v>
      </c>
      <c r="AG22" s="256">
        <f>Parametry!F30/2+Parametry!F30*Parametry!Q30</f>
        <v>121.6</v>
      </c>
      <c r="AH22" s="256">
        <f>AF22</f>
        <v>144</v>
      </c>
      <c r="AI22" s="256">
        <f>-AG22</f>
        <v>-121.6</v>
      </c>
      <c r="AK22" s="256">
        <f t="shared" si="0"/>
        <v>1644</v>
      </c>
      <c r="AL22" s="256">
        <f t="shared" si="1"/>
        <v>3676.6</v>
      </c>
      <c r="AM22" s="256">
        <f t="shared" si="2"/>
        <v>1644</v>
      </c>
      <c r="AN22" s="256">
        <f t="shared" si="3"/>
        <v>3433.4</v>
      </c>
      <c r="AP22" s="256">
        <f t="shared" si="4"/>
        <v>1635.1572693400849</v>
      </c>
      <c r="AQ22" s="256">
        <f t="shared" si="5"/>
        <v>3686.3585647932096</v>
      </c>
      <c r="AR22" s="256">
        <f t="shared" si="6"/>
        <v>1652.1397131967037</v>
      </c>
      <c r="AS22" s="261">
        <f t="shared" si="7"/>
        <v>3443.7522239843656</v>
      </c>
    </row>
    <row r="23" spans="3:46" ht="45.75" thickBot="1" x14ac:dyDescent="0.3">
      <c r="C23" s="403"/>
      <c r="D23" s="256">
        <v>1584.4832689272243</v>
      </c>
      <c r="E23" s="256">
        <v>3493.7498794175044</v>
      </c>
      <c r="F23" s="256">
        <v>1522.6346129644435</v>
      </c>
      <c r="G23" s="256">
        <v>3489.4204735001094</v>
      </c>
      <c r="H23" s="256" t="s">
        <v>11</v>
      </c>
      <c r="I23" s="261">
        <v>1</v>
      </c>
      <c r="M23" s="300" t="s">
        <v>250</v>
      </c>
      <c r="N23" s="256">
        <f>N22</f>
        <v>6.999999999999966E-2</v>
      </c>
      <c r="O23" s="256">
        <f>MIN(P23,Q23)</f>
        <v>3353.7650874162605</v>
      </c>
      <c r="P23" s="256">
        <f>Parametry!$O$33*SQRT(POWER('Obliczenia i dane'!N23,2)+1)+'Obliczenia i dane'!O22</f>
        <v>3393.8629676594851</v>
      </c>
      <c r="Q23" s="256">
        <f>-Parametry!$O$33*SQRT(POWER('Obliczenia i dane'!N23,2)+1)+'Obliczenia i dane'!O22</f>
        <v>3353.7650874162605</v>
      </c>
      <c r="T23" s="261"/>
      <c r="W23" s="260">
        <f>Y22</f>
        <v>-80</v>
      </c>
      <c r="X23" s="256">
        <f>Z22</f>
        <v>-67</v>
      </c>
      <c r="Y23" s="256">
        <f>W23</f>
        <v>-80</v>
      </c>
      <c r="Z23" s="261">
        <f>X23-Parametry!I31</f>
        <v>-76</v>
      </c>
      <c r="AF23" s="260">
        <f>-AF22</f>
        <v>-144</v>
      </c>
      <c r="AG23" s="256">
        <f>AG22</f>
        <v>121.6</v>
      </c>
      <c r="AH23" s="256">
        <f>-AH22</f>
        <v>-144</v>
      </c>
      <c r="AI23" s="256">
        <f>AI22</f>
        <v>-121.6</v>
      </c>
      <c r="AK23" s="256">
        <f t="shared" si="0"/>
        <v>1356</v>
      </c>
      <c r="AL23" s="256">
        <f t="shared" si="1"/>
        <v>3676.6</v>
      </c>
      <c r="AM23" s="256">
        <f t="shared" si="2"/>
        <v>1356</v>
      </c>
      <c r="AN23" s="256">
        <f t="shared" si="3"/>
        <v>3433.4</v>
      </c>
      <c r="AP23" s="256">
        <f t="shared" si="4"/>
        <v>1347.8602868032963</v>
      </c>
      <c r="AQ23" s="256">
        <f t="shared" si="5"/>
        <v>3666.2477760156344</v>
      </c>
      <c r="AR23" s="256">
        <f t="shared" si="6"/>
        <v>1364.8427306599151</v>
      </c>
      <c r="AS23" s="261">
        <f t="shared" si="7"/>
        <v>3423.6414352067904</v>
      </c>
    </row>
    <row r="24" spans="3:46" x14ac:dyDescent="0.25">
      <c r="C24" s="403"/>
      <c r="D24" s="257">
        <v>1635.1572693400849</v>
      </c>
      <c r="E24" s="258">
        <v>3686.3585647932096</v>
      </c>
      <c r="F24" s="258">
        <v>1652.1397131967037</v>
      </c>
      <c r="G24" s="258">
        <v>3443.7522239843656</v>
      </c>
      <c r="H24" s="258" t="s">
        <v>92</v>
      </c>
      <c r="I24" s="259">
        <v>15</v>
      </c>
      <c r="M24" s="260"/>
      <c r="N24" s="283" t="s">
        <v>83</v>
      </c>
      <c r="O24" s="283" t="s">
        <v>84</v>
      </c>
      <c r="Q24" s="256">
        <f>(R24-T24)/S24</f>
        <v>54.920694646834249</v>
      </c>
      <c r="R24" s="256">
        <f>Parametry!J33*SQRT(POWER('Obliczenia i dane'!N21,2)+1)</f>
        <v>20.993560917576612</v>
      </c>
      <c r="S24" s="256">
        <f>N21-N23</f>
        <v>-1.3699999999999997</v>
      </c>
      <c r="T24" s="261">
        <f>-O23+O21</f>
        <v>96.234912583739515</v>
      </c>
      <c r="W24" s="260">
        <f>Y20</f>
        <v>80</v>
      </c>
      <c r="X24" s="256">
        <f>-Z19</f>
        <v>-67</v>
      </c>
      <c r="Y24" s="256">
        <f>W24</f>
        <v>80</v>
      </c>
      <c r="Z24" s="261">
        <f>Z23</f>
        <v>-76</v>
      </c>
      <c r="AF24" s="260">
        <v>0</v>
      </c>
      <c r="AG24" s="256">
        <f>AG23</f>
        <v>121.6</v>
      </c>
      <c r="AH24" s="256">
        <f>AF24</f>
        <v>0</v>
      </c>
      <c r="AI24" s="256">
        <f>AI23</f>
        <v>-121.6</v>
      </c>
      <c r="AK24" s="256">
        <f t="shared" si="0"/>
        <v>1500</v>
      </c>
      <c r="AL24" s="256">
        <f t="shared" si="1"/>
        <v>3676.6</v>
      </c>
      <c r="AM24" s="256">
        <f t="shared" si="2"/>
        <v>1500</v>
      </c>
      <c r="AN24" s="256">
        <f t="shared" si="3"/>
        <v>3433.4</v>
      </c>
      <c r="AP24" s="256">
        <f t="shared" si="4"/>
        <v>1491.5087780716904</v>
      </c>
      <c r="AQ24" s="256">
        <f t="shared" si="5"/>
        <v>3676.303170404422</v>
      </c>
      <c r="AR24" s="256">
        <f t="shared" si="6"/>
        <v>1508.4912219283096</v>
      </c>
      <c r="AS24" s="261">
        <f t="shared" si="7"/>
        <v>3433.696829595578</v>
      </c>
    </row>
    <row r="25" spans="3:46" x14ac:dyDescent="0.25">
      <c r="C25" s="403"/>
      <c r="D25" s="260">
        <v>1347.8602868032963</v>
      </c>
      <c r="E25" s="256">
        <v>3666.2477760156344</v>
      </c>
      <c r="F25" s="256">
        <v>1364.8427306599151</v>
      </c>
      <c r="G25" s="256">
        <v>3423.6414352067904</v>
      </c>
      <c r="H25" s="256" t="s">
        <v>92</v>
      </c>
      <c r="I25" s="261">
        <v>15</v>
      </c>
      <c r="M25" s="260" t="s">
        <v>173</v>
      </c>
      <c r="N25" s="256">
        <f>MAX(Q24:Q25)</f>
        <v>85.568228833077484</v>
      </c>
      <c r="O25" s="256">
        <f>N23*N25+O23</f>
        <v>3359.7548634345758</v>
      </c>
      <c r="Q25" s="256">
        <f>(R25-T25)/S25</f>
        <v>85.568228833077484</v>
      </c>
      <c r="R25" s="256">
        <f>R24</f>
        <v>20.993560917576612</v>
      </c>
      <c r="S25" s="256">
        <f>-S24</f>
        <v>1.3699999999999997</v>
      </c>
      <c r="T25" s="261">
        <f>-T24</f>
        <v>-96.234912583739515</v>
      </c>
      <c r="W25" s="260">
        <f>Y23</f>
        <v>-80</v>
      </c>
      <c r="X25" s="256">
        <f>Z23</f>
        <v>-76</v>
      </c>
      <c r="Y25" s="256">
        <f>Y24</f>
        <v>80</v>
      </c>
      <c r="Z25" s="261">
        <f>Z24</f>
        <v>-76</v>
      </c>
      <c r="AF25" s="399" t="s">
        <v>105</v>
      </c>
      <c r="AG25" s="364"/>
      <c r="AH25" s="364"/>
      <c r="AI25" s="364"/>
      <c r="AJ25" s="364"/>
      <c r="AK25" s="364"/>
      <c r="AL25" s="364"/>
      <c r="AM25" s="364"/>
      <c r="AN25" s="364"/>
      <c r="AO25" s="364"/>
      <c r="AP25" s="364"/>
      <c r="AQ25" s="364"/>
      <c r="AR25" s="364"/>
      <c r="AS25" s="406"/>
    </row>
    <row r="26" spans="3:46" ht="15.75" thickBot="1" x14ac:dyDescent="0.3">
      <c r="C26" s="403"/>
      <c r="D26" s="263">
        <v>1491.5087780716904</v>
      </c>
      <c r="E26" s="264">
        <v>3676.303170404422</v>
      </c>
      <c r="F26" s="264">
        <v>1508.4912219283096</v>
      </c>
      <c r="G26" s="264">
        <v>3433.696829595578</v>
      </c>
      <c r="H26" s="264" t="s">
        <v>8</v>
      </c>
      <c r="I26" s="265">
        <v>3</v>
      </c>
      <c r="M26" s="260" t="s">
        <v>174</v>
      </c>
      <c r="N26" s="256">
        <f>(O28-O21)/(N21-N28)</f>
        <v>75.422641772538682</v>
      </c>
      <c r="O26" s="256">
        <f>N26*N28+O28</f>
        <v>3351.9505656956999</v>
      </c>
      <c r="T26" s="261"/>
      <c r="W26" s="260">
        <f>Y19</f>
        <v>80</v>
      </c>
      <c r="X26" s="256">
        <f>Z19</f>
        <v>67</v>
      </c>
      <c r="Y26" s="256">
        <f>W26</f>
        <v>80</v>
      </c>
      <c r="Z26" s="261">
        <f>X26+Parametry!I31</f>
        <v>76</v>
      </c>
      <c r="AF26" s="260">
        <f>AF10+Parametry!J30</f>
        <v>18</v>
      </c>
      <c r="AG26" s="256">
        <f>AG10</f>
        <v>-52</v>
      </c>
      <c r="AK26" s="256">
        <f t="shared" ref="AK26:AK29" si="10">AF26+$AM$7</f>
        <v>1518</v>
      </c>
      <c r="AL26" s="256">
        <f t="shared" ref="AL26:AL29" si="11">AG26+$AN$7</f>
        <v>3503</v>
      </c>
      <c r="AP26" s="256">
        <f t="shared" ref="AP26:AP29" si="12">$AM$7+AF26*COS($AR$7)-AG26*SIN($AR$7)</f>
        <v>1521.5871760489447</v>
      </c>
      <c r="AQ26" s="256">
        <f t="shared" ref="AQ26:AQ29" si="13">$AN$7+AF26*SIN($AR$7)+AG26*COS($AR$7)</f>
        <v>3504.3838580072338</v>
      </c>
      <c r="AS26" s="261"/>
    </row>
    <row r="27" spans="3:46" x14ac:dyDescent="0.25">
      <c r="C27" s="391" t="s">
        <v>116</v>
      </c>
      <c r="D27" s="258">
        <f>W9-Parametry!Q9/2</f>
        <v>-160</v>
      </c>
      <c r="E27" s="258">
        <f>X9</f>
        <v>3096</v>
      </c>
      <c r="F27" s="258">
        <f>Parametry!Q9/2+W9</f>
        <v>160</v>
      </c>
      <c r="G27" s="258">
        <f>E27</f>
        <v>3096</v>
      </c>
      <c r="H27" s="258" t="s">
        <v>5</v>
      </c>
      <c r="I27" s="259">
        <v>1</v>
      </c>
      <c r="M27" s="260"/>
      <c r="N27" s="283" t="s">
        <v>170</v>
      </c>
      <c r="O27" s="283" t="s">
        <v>67</v>
      </c>
      <c r="T27" s="261"/>
      <c r="W27" s="260">
        <f>-W26</f>
        <v>-80</v>
      </c>
      <c r="X27" s="256">
        <f>X26</f>
        <v>67</v>
      </c>
      <c r="Y27" s="256">
        <f>-Y26</f>
        <v>-80</v>
      </c>
      <c r="Z27" s="261">
        <f>Z26</f>
        <v>76</v>
      </c>
      <c r="AF27" s="260">
        <f>AF26</f>
        <v>18</v>
      </c>
      <c r="AG27" s="256">
        <f>-AG26</f>
        <v>52</v>
      </c>
      <c r="AK27" s="256">
        <f t="shared" si="10"/>
        <v>1518</v>
      </c>
      <c r="AL27" s="256">
        <f t="shared" si="11"/>
        <v>3607</v>
      </c>
      <c r="AP27" s="256">
        <f t="shared" si="12"/>
        <v>1514.3249467681537</v>
      </c>
      <c r="AQ27" s="256">
        <f t="shared" si="13"/>
        <v>3608.1299905899627</v>
      </c>
      <c r="AS27" s="261"/>
    </row>
    <row r="28" spans="3:46" x14ac:dyDescent="0.25">
      <c r="C28" s="399"/>
      <c r="D28" s="256">
        <f>D27</f>
        <v>-160</v>
      </c>
      <c r="E28" s="256">
        <f>E27</f>
        <v>3096</v>
      </c>
      <c r="F28" s="256">
        <f>D28</f>
        <v>-160</v>
      </c>
      <c r="G28" s="256">
        <f>E28-Parametry!P9</f>
        <v>3080</v>
      </c>
      <c r="H28" s="256" t="s">
        <v>5</v>
      </c>
      <c r="I28" s="261">
        <v>1</v>
      </c>
      <c r="M28" s="260" t="s">
        <v>178</v>
      </c>
      <c r="N28" s="256">
        <f>-1/N21</f>
        <v>0.76923076923076916</v>
      </c>
      <c r="O28" s="256">
        <f>O25-N25*N28</f>
        <v>3293.9331489475931</v>
      </c>
      <c r="T28" s="261"/>
      <c r="W28" s="260">
        <f>Y27</f>
        <v>-80</v>
      </c>
      <c r="X28" s="256">
        <f>Z27</f>
        <v>76</v>
      </c>
      <c r="Y28" s="256">
        <f>Y26</f>
        <v>80</v>
      </c>
      <c r="Z28" s="261">
        <f>Z26</f>
        <v>76</v>
      </c>
      <c r="AF28" s="260">
        <f>-AF27</f>
        <v>-18</v>
      </c>
      <c r="AG28" s="256">
        <f>AG27</f>
        <v>52</v>
      </c>
      <c r="AK28" s="256">
        <f t="shared" si="10"/>
        <v>1482</v>
      </c>
      <c r="AL28" s="256">
        <f t="shared" si="11"/>
        <v>3607</v>
      </c>
      <c r="AP28" s="256">
        <f t="shared" si="12"/>
        <v>1478.4128239510553</v>
      </c>
      <c r="AQ28" s="256">
        <f t="shared" si="13"/>
        <v>3605.6161419927662</v>
      </c>
      <c r="AS28" s="261"/>
    </row>
    <row r="29" spans="3:46" ht="15.75" thickBot="1" x14ac:dyDescent="0.3">
      <c r="C29" s="399"/>
      <c r="D29" s="256">
        <f>F27</f>
        <v>160</v>
      </c>
      <c r="E29" s="256">
        <f>G27</f>
        <v>3096</v>
      </c>
      <c r="F29" s="256">
        <f>D29</f>
        <v>160</v>
      </c>
      <c r="G29" s="256">
        <f>G28</f>
        <v>3080</v>
      </c>
      <c r="H29" s="256" t="s">
        <v>5</v>
      </c>
      <c r="I29" s="261">
        <v>1</v>
      </c>
      <c r="M29" s="300" t="s">
        <v>224</v>
      </c>
      <c r="N29" s="256">
        <f>N21</f>
        <v>-1.3</v>
      </c>
      <c r="O29" s="256">
        <f>O25-N29*N25</f>
        <v>3470.9935609175764</v>
      </c>
      <c r="T29" s="261"/>
      <c r="W29" s="260">
        <v>0</v>
      </c>
      <c r="X29" s="256">
        <f>-Parametry!F31/2-Parametry!Q31*Parametry!F31</f>
        <v>-121.6</v>
      </c>
      <c r="Y29" s="256">
        <f>W29</f>
        <v>0</v>
      </c>
      <c r="Z29" s="261">
        <f>-X29</f>
        <v>121.6</v>
      </c>
      <c r="AF29" s="263">
        <f>AF28</f>
        <v>-18</v>
      </c>
      <c r="AG29" s="264">
        <f>AG26</f>
        <v>-52</v>
      </c>
      <c r="AH29" s="264"/>
      <c r="AI29" s="264"/>
      <c r="AJ29" s="264"/>
      <c r="AK29" s="264">
        <f t="shared" si="10"/>
        <v>1482</v>
      </c>
      <c r="AL29" s="264">
        <f t="shared" si="11"/>
        <v>3503</v>
      </c>
      <c r="AM29" s="264"/>
      <c r="AN29" s="264"/>
      <c r="AO29" s="264"/>
      <c r="AP29" s="264">
        <f t="shared" si="12"/>
        <v>1485.6750532318463</v>
      </c>
      <c r="AQ29" s="264">
        <f t="shared" si="13"/>
        <v>3501.8700094100373</v>
      </c>
      <c r="AR29" s="264"/>
      <c r="AS29" s="265"/>
    </row>
    <row r="30" spans="3:46" ht="15.75" thickBot="1" x14ac:dyDescent="0.3">
      <c r="C30" s="399"/>
      <c r="D30" s="256">
        <f>D27</f>
        <v>-160</v>
      </c>
      <c r="E30" s="256">
        <f>G28</f>
        <v>3080</v>
      </c>
      <c r="F30" s="256">
        <f>F29</f>
        <v>160</v>
      </c>
      <c r="G30" s="256">
        <f>E30</f>
        <v>3080</v>
      </c>
      <c r="H30" s="256" t="s">
        <v>5</v>
      </c>
      <c r="I30" s="261">
        <v>1</v>
      </c>
      <c r="M30" s="260"/>
      <c r="N30" s="283" t="s">
        <v>83</v>
      </c>
      <c r="O30" s="283" t="s">
        <v>84</v>
      </c>
      <c r="T30" s="261"/>
      <c r="W30" s="260">
        <f>-Parametry!G31/2-Parametry!P31*Parametry!G31</f>
        <v>-144</v>
      </c>
      <c r="X30" s="256">
        <f>X29</f>
        <v>-121.6</v>
      </c>
      <c r="Y30" s="256">
        <f>W30</f>
        <v>-144</v>
      </c>
      <c r="Z30" s="261">
        <f>Z29</f>
        <v>121.6</v>
      </c>
    </row>
    <row r="31" spans="3:46" ht="30.75" thickBot="1" x14ac:dyDescent="0.3">
      <c r="C31" s="399"/>
      <c r="D31" s="256">
        <f>W9+Parametry!Q11/2-Parametry!T11</f>
        <v>30</v>
      </c>
      <c r="E31" s="256">
        <f>E30</f>
        <v>3080</v>
      </c>
      <c r="F31" s="256">
        <f>D31+Parametry!T11</f>
        <v>40</v>
      </c>
      <c r="G31" s="256">
        <f>E31-Parametry!U11</f>
        <v>3070</v>
      </c>
      <c r="H31" s="256" t="s">
        <v>5</v>
      </c>
      <c r="I31" s="261">
        <v>1</v>
      </c>
      <c r="M31" s="300" t="s">
        <v>244</v>
      </c>
      <c r="N31" s="256">
        <f>AM32</f>
        <v>802.47279718297762</v>
      </c>
      <c r="O31" s="256">
        <f>AN32</f>
        <v>2406.7853636621289</v>
      </c>
      <c r="R31" s="273" t="s">
        <v>179</v>
      </c>
      <c r="S31" s="296">
        <f>Parametry!O35/2+(1+Parametry!Q33)*Parametry!F33</f>
        <v>61.5</v>
      </c>
      <c r="T31" s="261"/>
      <c r="W31" s="260">
        <f>-W30</f>
        <v>144</v>
      </c>
      <c r="X31" s="256">
        <f>X30</f>
        <v>-121.6</v>
      </c>
      <c r="Y31" s="256">
        <f>W31</f>
        <v>144</v>
      </c>
      <c r="Z31" s="261">
        <f>Z30</f>
        <v>121.6</v>
      </c>
      <c r="AF31" s="391" t="s">
        <v>199</v>
      </c>
      <c r="AG31" s="392"/>
      <c r="AH31" s="392"/>
      <c r="AI31" s="392"/>
      <c r="AJ31" s="392"/>
      <c r="AK31" s="392"/>
      <c r="AL31" s="392"/>
      <c r="AM31" s="392"/>
      <c r="AN31" s="392"/>
      <c r="AO31" s="392"/>
      <c r="AP31" s="392"/>
      <c r="AQ31" s="392"/>
      <c r="AR31" s="392"/>
      <c r="AS31" s="393"/>
    </row>
    <row r="32" spans="3:46" x14ac:dyDescent="0.25">
      <c r="C32" s="399"/>
      <c r="D32" s="256">
        <f t="shared" ref="D32:E35" si="14">F31</f>
        <v>40</v>
      </c>
      <c r="E32" s="256">
        <f t="shared" si="14"/>
        <v>3070</v>
      </c>
      <c r="F32" s="256">
        <f>D32</f>
        <v>40</v>
      </c>
      <c r="G32" s="256">
        <f>E32-(Parametry!P11-Parametry!U11)</f>
        <v>3050</v>
      </c>
      <c r="H32" s="256" t="s">
        <v>5</v>
      </c>
      <c r="I32" s="261">
        <v>1</v>
      </c>
      <c r="M32" s="260"/>
      <c r="N32" s="283" t="s">
        <v>170</v>
      </c>
      <c r="O32" s="283" t="s">
        <v>67</v>
      </c>
      <c r="T32" s="261"/>
      <c r="W32" s="399" t="s">
        <v>105</v>
      </c>
      <c r="X32" s="364"/>
      <c r="Y32" s="364"/>
      <c r="Z32" s="406"/>
      <c r="AF32" s="305"/>
      <c r="AG32" s="283"/>
      <c r="AH32" s="283"/>
      <c r="AI32" s="283"/>
      <c r="AJ32" s="283"/>
      <c r="AK32" s="414" t="s">
        <v>86</v>
      </c>
      <c r="AL32" s="414"/>
      <c r="AM32" s="283">
        <f>X46</f>
        <v>802.47279718297762</v>
      </c>
      <c r="AN32" s="283">
        <f>Y46</f>
        <v>2406.7853636621289</v>
      </c>
      <c r="AO32" s="283"/>
      <c r="AP32" s="414" t="s">
        <v>89</v>
      </c>
      <c r="AQ32" s="414"/>
      <c r="AR32" s="283">
        <f>-ATAN((E9-E10)/(D10-D9))</f>
        <v>-0.91510070055336046</v>
      </c>
      <c r="AS32" s="306"/>
      <c r="AT32" s="256">
        <f>DEGREES(AR32)</f>
        <v>-52.431407971172511</v>
      </c>
    </row>
    <row r="33" spans="3:45" x14ac:dyDescent="0.25">
      <c r="C33" s="399"/>
      <c r="D33" s="256">
        <f t="shared" si="14"/>
        <v>40</v>
      </c>
      <c r="E33" s="256">
        <f t="shared" si="14"/>
        <v>3050</v>
      </c>
      <c r="F33" s="256">
        <f>D33-Parametry!Q11</f>
        <v>-40</v>
      </c>
      <c r="G33" s="256">
        <f>E33</f>
        <v>3050</v>
      </c>
      <c r="H33" s="256" t="s">
        <v>5</v>
      </c>
      <c r="I33" s="261">
        <v>1</v>
      </c>
      <c r="M33" s="260" t="s">
        <v>229</v>
      </c>
      <c r="N33" s="256">
        <f>N28</f>
        <v>0.76923076923076916</v>
      </c>
      <c r="O33" s="256">
        <f>Q33-N33*N31+O31</f>
        <v>1867.0889809991991</v>
      </c>
      <c r="Q33" s="256">
        <f>S31*SQRT(POWER(N33,2)+1)</f>
        <v>77.590384400899111</v>
      </c>
      <c r="T33" s="261"/>
      <c r="W33" s="260">
        <f>W19</f>
        <v>18</v>
      </c>
      <c r="X33" s="256">
        <f>Z17</f>
        <v>52</v>
      </c>
      <c r="Z33" s="261"/>
      <c r="AF33" s="413" t="s">
        <v>200</v>
      </c>
      <c r="AG33" s="414"/>
      <c r="AH33" s="414"/>
      <c r="AI33" s="414"/>
      <c r="AJ33" s="283"/>
      <c r="AK33" s="414" t="s">
        <v>87</v>
      </c>
      <c r="AL33" s="414"/>
      <c r="AM33" s="414"/>
      <c r="AN33" s="414"/>
      <c r="AO33" s="283"/>
      <c r="AP33" s="414" t="s">
        <v>88</v>
      </c>
      <c r="AQ33" s="414"/>
      <c r="AR33" s="414"/>
      <c r="AS33" s="416"/>
    </row>
    <row r="34" spans="3:45" x14ac:dyDescent="0.25">
      <c r="C34" s="399"/>
      <c r="D34" s="256">
        <f t="shared" si="14"/>
        <v>-40</v>
      </c>
      <c r="E34" s="256">
        <f t="shared" si="14"/>
        <v>3050</v>
      </c>
      <c r="F34" s="256">
        <f>D34</f>
        <v>-40</v>
      </c>
      <c r="G34" s="256">
        <f>E34+Parametry!P11-Parametry!U11</f>
        <v>3070</v>
      </c>
      <c r="H34" s="256" t="s">
        <v>5</v>
      </c>
      <c r="I34" s="261">
        <v>1</v>
      </c>
      <c r="M34" s="260" t="s">
        <v>228</v>
      </c>
      <c r="N34" s="256">
        <f>N28</f>
        <v>0.76923076923076916</v>
      </c>
      <c r="O34" s="256">
        <f>-Q33-N34*N31+O31</f>
        <v>1711.9082121974011</v>
      </c>
      <c r="T34" s="261"/>
      <c r="W34" s="260">
        <f>-W33</f>
        <v>-18</v>
      </c>
      <c r="X34" s="256">
        <f>X33</f>
        <v>52</v>
      </c>
      <c r="Z34" s="261"/>
      <c r="AF34" s="260">
        <f>-Parametry!O35/2</f>
        <v>-3</v>
      </c>
      <c r="AG34" s="256">
        <f>-(Parametry!F33-Parametry!J33)</f>
        <v>-32.200000000000003</v>
      </c>
      <c r="AH34" s="256">
        <f>AF34</f>
        <v>-3</v>
      </c>
      <c r="AI34" s="256">
        <f>Parametry!J33</f>
        <v>12.8</v>
      </c>
      <c r="AK34" s="256" cm="1">
        <f t="array" ref="AK34:AK48">AM32+AF34:AF48</f>
        <v>799.47279718297762</v>
      </c>
      <c r="AL34" s="256" cm="1">
        <f t="array" ref="AL34:AL48">AN32+AG34:AG48</f>
        <v>2374.5853636621291</v>
      </c>
      <c r="AM34" s="256" cm="1">
        <f t="array" ref="AM34:AM48">AM32+AH34:AH48</f>
        <v>799.47279718297762</v>
      </c>
      <c r="AN34" s="256" cm="1">
        <f t="array" ref="AN34:AN48">AN32+AI34:AI48</f>
        <v>2419.5853636621291</v>
      </c>
      <c r="AP34" s="256">
        <f>$AM$32+AF34*COS($AR$32)-AG34*SIN($AR$32)</f>
        <v>775.12117245126046</v>
      </c>
      <c r="AQ34" s="256">
        <f>$AN$32+AF34*SIN($AR$32)+AG34*COS($AR$32)</f>
        <v>2389.5305491300824</v>
      </c>
      <c r="AR34" s="256">
        <f>$AM$32+AH34*COS($AR$32)-AI34*SIN($AR$32)</f>
        <v>810.78925196096748</v>
      </c>
      <c r="AS34" s="261">
        <f>$AN$32+AH34*SIN($AR$32)+AI34*COS($AR$32)</f>
        <v>2416.9675333683185</v>
      </c>
    </row>
    <row r="35" spans="3:45" x14ac:dyDescent="0.25">
      <c r="C35" s="399"/>
      <c r="D35" s="256">
        <f t="shared" si="14"/>
        <v>-40</v>
      </c>
      <c r="E35" s="256">
        <f t="shared" si="14"/>
        <v>3070</v>
      </c>
      <c r="F35" s="256">
        <f>D35+Parametry!T11</f>
        <v>-30</v>
      </c>
      <c r="G35" s="256">
        <f>E35+Parametry!U11</f>
        <v>3080</v>
      </c>
      <c r="H35" s="256" t="s">
        <v>5</v>
      </c>
      <c r="I35" s="261">
        <v>1</v>
      </c>
      <c r="M35" s="260"/>
      <c r="N35" s="283" t="s">
        <v>83</v>
      </c>
      <c r="O35" s="283" t="s">
        <v>84</v>
      </c>
      <c r="T35" s="261"/>
      <c r="W35" s="260">
        <f>W33</f>
        <v>18</v>
      </c>
      <c r="X35" s="256">
        <f>-X34</f>
        <v>-52</v>
      </c>
      <c r="Z35" s="261"/>
      <c r="AF35" s="260">
        <f>AH34</f>
        <v>-3</v>
      </c>
      <c r="AG35" s="256">
        <f>AI34</f>
        <v>12.8</v>
      </c>
      <c r="AH35" s="256">
        <f>AF35-Parametry!F33</f>
        <v>-48</v>
      </c>
      <c r="AI35" s="256">
        <f>AG35</f>
        <v>12.8</v>
      </c>
      <c r="AK35" s="256">
        <v>799.47279718297762</v>
      </c>
      <c r="AL35" s="256">
        <v>2419.5853636621291</v>
      </c>
      <c r="AM35" s="256">
        <v>754.47279718297762</v>
      </c>
      <c r="AN35" s="256">
        <v>2419.5853636621291</v>
      </c>
      <c r="AP35" s="256">
        <f t="shared" ref="AP35:AP48" si="15">$AM$32+AF35*COS($AR$32)-AG35*SIN($AR$32)</f>
        <v>810.78925196096748</v>
      </c>
      <c r="AQ35" s="256">
        <f t="shared" ref="AQ35:AQ48" si="16">$AN$32+AF35*SIN($AR$32)+AG35*COS($AR$32)</f>
        <v>2416.9675333683185</v>
      </c>
      <c r="AR35" s="256">
        <f t="shared" ref="AR35:AR48" si="17">$AM$32+AH35*COS($AR$32)-AI35*SIN($AR$32)</f>
        <v>783.35226772273131</v>
      </c>
      <c r="AS35" s="261">
        <f>$AN$32+AH35*SIN($AR$32)+AI35*COS($AR$32)</f>
        <v>2452.6356128780258</v>
      </c>
    </row>
    <row r="36" spans="3:45" ht="15.75" thickBot="1" x14ac:dyDescent="0.3">
      <c r="C36" s="399"/>
      <c r="D36" s="256">
        <f>W9+Parametry!Q11/2+Parametry!U9</f>
        <v>50</v>
      </c>
      <c r="E36" s="256">
        <f t="shared" ref="E36:E41" si="18">G35</f>
        <v>3080</v>
      </c>
      <c r="F36" s="256">
        <f>D36</f>
        <v>50</v>
      </c>
      <c r="G36" s="256">
        <f>E36-Parametry!P10</f>
        <v>3060</v>
      </c>
      <c r="H36" s="256" t="s">
        <v>5</v>
      </c>
      <c r="I36" s="261">
        <v>1</v>
      </c>
      <c r="M36" s="260" t="s">
        <v>180</v>
      </c>
      <c r="N36" s="256">
        <f>(O33-O29)/(N29-N33)</f>
        <v>775.12117245126046</v>
      </c>
      <c r="O36" s="256">
        <f>N36*N33+O33</f>
        <v>2463.3360367309378</v>
      </c>
      <c r="T36" s="261"/>
      <c r="W36" s="263">
        <f>W34</f>
        <v>-18</v>
      </c>
      <c r="X36" s="264">
        <f>X35</f>
        <v>-52</v>
      </c>
      <c r="Y36" s="264"/>
      <c r="Z36" s="265"/>
      <c r="AF36" s="260" cm="1">
        <f t="array" ref="AF36:AG36">AH35:AI35</f>
        <v>-48</v>
      </c>
      <c r="AG36" s="256">
        <v>12.8</v>
      </c>
      <c r="AH36" s="256">
        <f>AF36</f>
        <v>-48</v>
      </c>
      <c r="AI36" s="256">
        <f>AG36-(Parametry!G33-Parametry!I33)</f>
        <v>11.3</v>
      </c>
      <c r="AK36" s="256">
        <v>754.47279718297762</v>
      </c>
      <c r="AL36" s="256">
        <v>2419.5853636621291</v>
      </c>
      <c r="AM36" s="256">
        <v>754.47279718297762</v>
      </c>
      <c r="AN36" s="256">
        <v>2418.0853636621291</v>
      </c>
      <c r="AP36" s="256">
        <f t="shared" si="15"/>
        <v>783.35226772273131</v>
      </c>
      <c r="AQ36" s="256">
        <f t="shared" si="16"/>
        <v>2452.6356128780258</v>
      </c>
      <c r="AR36" s="256">
        <f t="shared" si="17"/>
        <v>782.16333173907435</v>
      </c>
      <c r="AS36" s="261">
        <f t="shared" ref="AS36:AS48" si="19">$AN$32+AH36*SIN($AR$32)+AI36*COS($AR$32)</f>
        <v>2451.7210467367513</v>
      </c>
    </row>
    <row r="37" spans="3:45" x14ac:dyDescent="0.25">
      <c r="C37" s="399"/>
      <c r="D37" s="256">
        <f>F36</f>
        <v>50</v>
      </c>
      <c r="E37" s="256">
        <f t="shared" si="18"/>
        <v>3060</v>
      </c>
      <c r="F37" s="256">
        <f>D37+Parametry!Q10</f>
        <v>110</v>
      </c>
      <c r="G37" s="256">
        <f>E37</f>
        <v>3060</v>
      </c>
      <c r="H37" s="256" t="s">
        <v>5</v>
      </c>
      <c r="I37" s="261">
        <v>1</v>
      </c>
      <c r="M37" s="260"/>
      <c r="N37" s="283" t="s">
        <v>170</v>
      </c>
      <c r="O37" s="283" t="s">
        <v>67</v>
      </c>
      <c r="T37" s="261"/>
      <c r="AF37" s="260">
        <f>AH36+Parametry!I33</f>
        <v>-44.5</v>
      </c>
      <c r="AG37" s="256">
        <f>AI36-Parametry!I33</f>
        <v>7.8000000000000007</v>
      </c>
      <c r="AH37" s="256">
        <f>AF37+(Parametry!F33-Parametry!H33-Parametry!I33-Parametry!G33)</f>
        <v>-15</v>
      </c>
      <c r="AI37" s="256">
        <f>AG37</f>
        <v>7.8000000000000007</v>
      </c>
      <c r="AK37" s="256">
        <v>757.97279718297762</v>
      </c>
      <c r="AL37" s="256">
        <v>2414.5853636621291</v>
      </c>
      <c r="AM37" s="256">
        <v>787.47279718297762</v>
      </c>
      <c r="AN37" s="256">
        <v>2414.5853636621291</v>
      </c>
      <c r="AP37" s="256">
        <f t="shared" si="15"/>
        <v>781.52313544018227</v>
      </c>
      <c r="AQ37" s="256">
        <f t="shared" si="16"/>
        <v>2446.8128751119111</v>
      </c>
      <c r="AR37" s="256">
        <f t="shared" si="17"/>
        <v>799.50960288524811</v>
      </c>
      <c r="AS37" s="261">
        <f t="shared" si="19"/>
        <v>2423.4304674333252</v>
      </c>
    </row>
    <row r="38" spans="3:45" ht="30.75" thickBot="1" x14ac:dyDescent="0.3">
      <c r="C38" s="399"/>
      <c r="D38" s="256">
        <f>F37</f>
        <v>110</v>
      </c>
      <c r="E38" s="256">
        <f t="shared" si="18"/>
        <v>3060</v>
      </c>
      <c r="F38" s="256">
        <f>D38</f>
        <v>110</v>
      </c>
      <c r="G38" s="256">
        <f>E36</f>
        <v>3080</v>
      </c>
      <c r="H38" s="256" t="s">
        <v>5</v>
      </c>
      <c r="I38" s="261">
        <v>1</v>
      </c>
      <c r="M38" s="300" t="s">
        <v>182</v>
      </c>
      <c r="N38" s="256">
        <f>N29</f>
        <v>-1.3</v>
      </c>
      <c r="O38" s="256">
        <f>-Q38-N38*N25+O25</f>
        <v>3462.792951184148</v>
      </c>
      <c r="Q38" s="256">
        <f>Parametry!G33*SQRT(POWER('Obliczenia i dane'!N38,2)+1)</f>
        <v>8.2006097334283634</v>
      </c>
      <c r="T38" s="261"/>
      <c r="AF38" s="260">
        <f>AH37+Parametry!H33</f>
        <v>-8</v>
      </c>
      <c r="AG38" s="256">
        <f>AI37-Parametry!H33</f>
        <v>0.80000000000000071</v>
      </c>
      <c r="AH38" s="256">
        <f>AF38</f>
        <v>-8</v>
      </c>
      <c r="AI38" s="256">
        <f>AG38-(Parametry!F33-Parametry!H33-Parametry!I33-Parametry!G33)</f>
        <v>-28.7</v>
      </c>
      <c r="AK38" s="256">
        <v>794.47279718297762</v>
      </c>
      <c r="AL38" s="256">
        <v>2407.5853636621291</v>
      </c>
      <c r="AM38" s="256">
        <v>794.47279718297762</v>
      </c>
      <c r="AN38" s="256">
        <v>2378.0853636621291</v>
      </c>
      <c r="AP38" s="256">
        <f t="shared" si="15"/>
        <v>798.22921028746373</v>
      </c>
      <c r="AQ38" s="256">
        <f t="shared" si="16"/>
        <v>2413.6141241836453</v>
      </c>
      <c r="AR38" s="256">
        <f t="shared" si="17"/>
        <v>774.84680260887808</v>
      </c>
      <c r="AS38" s="261">
        <f t="shared" si="19"/>
        <v>2395.6276567385794</v>
      </c>
    </row>
    <row r="39" spans="3:45" ht="16.5" customHeight="1" x14ac:dyDescent="0.25">
      <c r="C39" s="399"/>
      <c r="D39" s="256">
        <f>W9-Parametry!Q11/2-Parametry!U9</f>
        <v>-50</v>
      </c>
      <c r="E39" s="256">
        <f t="shared" si="18"/>
        <v>3080</v>
      </c>
      <c r="F39" s="256">
        <f>D39</f>
        <v>-50</v>
      </c>
      <c r="G39" s="256">
        <f>G36</f>
        <v>3060</v>
      </c>
      <c r="H39" s="256" t="s">
        <v>5</v>
      </c>
      <c r="I39" s="261">
        <v>1</v>
      </c>
      <c r="M39" s="260"/>
      <c r="N39" s="283" t="s">
        <v>83</v>
      </c>
      <c r="O39" s="283" t="s">
        <v>84</v>
      </c>
      <c r="T39" s="261"/>
      <c r="W39" s="402" t="s">
        <v>304</v>
      </c>
      <c r="X39" s="417"/>
      <c r="Y39" s="418"/>
      <c r="AF39" s="260">
        <f>AF38+Parametry!I33</f>
        <v>-4.5</v>
      </c>
      <c r="AG39" s="256">
        <f>AI38-Parametry!I33</f>
        <v>-32.200000000000003</v>
      </c>
      <c r="AH39" s="256">
        <f>AF34</f>
        <v>-3</v>
      </c>
      <c r="AI39" s="256">
        <f>AG39</f>
        <v>-32.200000000000003</v>
      </c>
      <c r="AK39" s="256">
        <v>797.97279718297762</v>
      </c>
      <c r="AL39" s="256">
        <v>2374.5853636621291</v>
      </c>
      <c r="AM39" s="256">
        <v>799.47279718297762</v>
      </c>
      <c r="AN39" s="256">
        <v>2374.5853636621291</v>
      </c>
      <c r="AP39" s="256">
        <f t="shared" si="15"/>
        <v>774.20660630998589</v>
      </c>
      <c r="AQ39" s="256">
        <f t="shared" si="16"/>
        <v>2390.7194851137392</v>
      </c>
      <c r="AR39" s="256">
        <f t="shared" si="17"/>
        <v>775.12117245126046</v>
      </c>
      <c r="AS39" s="261">
        <f t="shared" si="19"/>
        <v>2389.5305491300824</v>
      </c>
    </row>
    <row r="40" spans="3:45" x14ac:dyDescent="0.25">
      <c r="C40" s="399"/>
      <c r="D40" s="256">
        <f>F39</f>
        <v>-50</v>
      </c>
      <c r="E40" s="256">
        <f t="shared" si="18"/>
        <v>3060</v>
      </c>
      <c r="F40" s="256">
        <f>D40-Parametry!Q10</f>
        <v>-110</v>
      </c>
      <c r="G40" s="256">
        <f>E40</f>
        <v>3060</v>
      </c>
      <c r="H40" s="256" t="s">
        <v>5</v>
      </c>
      <c r="I40" s="261">
        <v>1</v>
      </c>
      <c r="M40" s="260" t="s">
        <v>181</v>
      </c>
      <c r="N40" s="256">
        <f>(O38-O28)/(N28-N38)</f>
        <v>81.605108887554451</v>
      </c>
      <c r="O40" s="256">
        <f>N38*N40+O38</f>
        <v>3356.7063096303273</v>
      </c>
      <c r="T40" s="261"/>
      <c r="W40" s="260"/>
      <c r="X40" s="283" t="s">
        <v>83</v>
      </c>
      <c r="Y40" s="306" t="s">
        <v>84</v>
      </c>
      <c r="AF40" s="260" cm="1">
        <f t="array" ref="AF40:AF45">-AF34:AF39</f>
        <v>3</v>
      </c>
      <c r="AG40" s="256" cm="1">
        <f t="array" ref="AG40:AG45">AG34:AG39</f>
        <v>-32.200000000000003</v>
      </c>
      <c r="AH40" s="256" cm="1">
        <f t="array" ref="AH40:AH45">-AH34:AH39</f>
        <v>3</v>
      </c>
      <c r="AI40" s="256" cm="1">
        <f t="array" ref="AI40:AI45">AI34:AI39</f>
        <v>12.8</v>
      </c>
      <c r="AK40" s="256">
        <v>805.47279718297762</v>
      </c>
      <c r="AL40" s="256">
        <v>2374.5853636621291</v>
      </c>
      <c r="AM40" s="256">
        <v>805.47279718297762</v>
      </c>
      <c r="AN40" s="256">
        <v>2419.5853636621291</v>
      </c>
      <c r="AP40" s="256">
        <f t="shared" si="15"/>
        <v>778.77943701635854</v>
      </c>
      <c r="AQ40" s="256">
        <f t="shared" si="16"/>
        <v>2384.774805195455</v>
      </c>
      <c r="AR40" s="256">
        <f t="shared" si="17"/>
        <v>814.44751652606556</v>
      </c>
      <c r="AS40" s="261">
        <f t="shared" si="19"/>
        <v>2412.2117894336911</v>
      </c>
    </row>
    <row r="41" spans="3:45" x14ac:dyDescent="0.25">
      <c r="C41" s="399"/>
      <c r="D41" s="256">
        <f>F40</f>
        <v>-110</v>
      </c>
      <c r="E41" s="256">
        <f t="shared" si="18"/>
        <v>3060</v>
      </c>
      <c r="F41" s="256">
        <f>D41</f>
        <v>-110</v>
      </c>
      <c r="G41" s="256">
        <f>E39</f>
        <v>3080</v>
      </c>
      <c r="H41" s="256" t="s">
        <v>5</v>
      </c>
      <c r="I41" s="261">
        <v>1</v>
      </c>
      <c r="M41" s="260" t="s">
        <v>183</v>
      </c>
      <c r="N41" s="256">
        <f>(O38-O33)/(N33-N38)</f>
        <v>771.15805250573749</v>
      </c>
      <c r="O41" s="256">
        <f>N41*N38+O38</f>
        <v>2460.2874829266893</v>
      </c>
      <c r="T41" s="261"/>
      <c r="W41" s="260" t="s">
        <v>305</v>
      </c>
      <c r="X41" s="256">
        <f>(O44-O21)/(N21-N44)</f>
        <v>230.5576208178438</v>
      </c>
      <c r="Y41" s="261">
        <f>X41*N44+O44</f>
        <v>3150.275092936803</v>
      </c>
      <c r="AF41" s="260">
        <v>3</v>
      </c>
      <c r="AG41" s="256">
        <v>12.8</v>
      </c>
      <c r="AH41" s="256">
        <v>48</v>
      </c>
      <c r="AI41" s="256">
        <v>12.8</v>
      </c>
      <c r="AK41" s="256">
        <v>805.47279718297762</v>
      </c>
      <c r="AL41" s="256">
        <v>2419.5853636621291</v>
      </c>
      <c r="AM41" s="256">
        <v>850.47279718297762</v>
      </c>
      <c r="AN41" s="256">
        <v>2419.5853636621291</v>
      </c>
      <c r="AP41" s="256">
        <f t="shared" si="15"/>
        <v>814.44751652606556</v>
      </c>
      <c r="AQ41" s="256">
        <f t="shared" si="16"/>
        <v>2412.2117894336911</v>
      </c>
      <c r="AR41" s="256">
        <f t="shared" si="17"/>
        <v>841.88450076430172</v>
      </c>
      <c r="AS41" s="261">
        <f t="shared" si="19"/>
        <v>2376.5437099239839</v>
      </c>
    </row>
    <row r="42" spans="3:45" x14ac:dyDescent="0.25">
      <c r="C42" s="399"/>
      <c r="D42" s="256">
        <f>D27</f>
        <v>-160</v>
      </c>
      <c r="E42" s="256">
        <f>E27-Parametry!P9-Parametry!P11</f>
        <v>3050</v>
      </c>
      <c r="F42" s="256">
        <f>F27</f>
        <v>160</v>
      </c>
      <c r="G42" s="256">
        <f>E42</f>
        <v>3050</v>
      </c>
      <c r="H42" s="256" t="s">
        <v>14</v>
      </c>
      <c r="I42" s="261">
        <v>1</v>
      </c>
      <c r="M42" s="260"/>
      <c r="N42" s="283" t="s">
        <v>170</v>
      </c>
      <c r="O42" s="283" t="s">
        <v>67</v>
      </c>
      <c r="T42" s="261"/>
      <c r="W42" s="260"/>
      <c r="X42" s="283" t="s">
        <v>170</v>
      </c>
      <c r="Y42" s="306" t="s">
        <v>67</v>
      </c>
      <c r="AF42" s="260">
        <v>48</v>
      </c>
      <c r="AG42" s="256">
        <v>12.8</v>
      </c>
      <c r="AH42" s="256">
        <v>48</v>
      </c>
      <c r="AI42" s="256">
        <v>11.3</v>
      </c>
      <c r="AK42" s="256">
        <v>850.47279718297762</v>
      </c>
      <c r="AL42" s="256">
        <v>2419.5853636621291</v>
      </c>
      <c r="AM42" s="256">
        <v>850.47279718297762</v>
      </c>
      <c r="AN42" s="256">
        <v>2418.0853636621291</v>
      </c>
      <c r="AP42" s="256">
        <f t="shared" si="15"/>
        <v>841.88450076430172</v>
      </c>
      <c r="AQ42" s="256">
        <f t="shared" si="16"/>
        <v>2376.5437099239839</v>
      </c>
      <c r="AR42" s="256">
        <f t="shared" si="17"/>
        <v>840.69556478064476</v>
      </c>
      <c r="AS42" s="261">
        <f t="shared" si="19"/>
        <v>2375.6291437827094</v>
      </c>
    </row>
    <row r="43" spans="3:45" ht="36.75" customHeight="1" x14ac:dyDescent="0.25">
      <c r="C43" s="399"/>
      <c r="D43" s="256">
        <f>D42</f>
        <v>-160</v>
      </c>
      <c r="E43" s="256">
        <f>E42-Parametry!P9</f>
        <v>3034</v>
      </c>
      <c r="F43" s="256">
        <f>F42</f>
        <v>160</v>
      </c>
      <c r="G43" s="256">
        <f>E43</f>
        <v>3034</v>
      </c>
      <c r="H43" s="256" t="s">
        <v>14</v>
      </c>
      <c r="I43" s="261">
        <v>1</v>
      </c>
      <c r="M43" s="300" t="s">
        <v>184</v>
      </c>
      <c r="N43" s="256">
        <f>N29</f>
        <v>-1.3</v>
      </c>
      <c r="O43" s="256">
        <f>-Q43-N43*N25+O25</f>
        <v>3397.1880733167213</v>
      </c>
      <c r="Q43" s="256">
        <f>Parametry!F33*SQRT(POWER('Obliczenia i dane'!N43,2)+1)</f>
        <v>73.805487600855272</v>
      </c>
      <c r="T43" s="261"/>
      <c r="W43" s="300" t="s">
        <v>307</v>
      </c>
      <c r="X43" s="256">
        <f>(O172-O173)/(N172-N173)</f>
        <v>0.76923076923076927</v>
      </c>
      <c r="Y43" s="261">
        <f>O172-N172*X43</f>
        <v>606.07411627352303</v>
      </c>
      <c r="AF43" s="260">
        <v>44.5</v>
      </c>
      <c r="AG43" s="256">
        <v>7.8000000000000007</v>
      </c>
      <c r="AH43" s="256">
        <v>15</v>
      </c>
      <c r="AI43" s="256">
        <v>7.8000000000000007</v>
      </c>
      <c r="AK43" s="256">
        <v>846.97279718297762</v>
      </c>
      <c r="AL43" s="256">
        <v>2414.5853636621291</v>
      </c>
      <c r="AM43" s="256">
        <v>817.47279718297762</v>
      </c>
      <c r="AN43" s="256">
        <v>2414.5853636621291</v>
      </c>
      <c r="AP43" s="256">
        <f t="shared" si="15"/>
        <v>835.78739315580481</v>
      </c>
      <c r="AQ43" s="256">
        <f t="shared" si="16"/>
        <v>2376.2693400816015</v>
      </c>
      <c r="AR43" s="256">
        <f t="shared" si="17"/>
        <v>817.80092571073897</v>
      </c>
      <c r="AS43" s="261">
        <f t="shared" si="19"/>
        <v>2399.6517477601874</v>
      </c>
    </row>
    <row r="44" spans="3:45" ht="45" x14ac:dyDescent="0.25">
      <c r="C44" s="399"/>
      <c r="D44" s="256">
        <f>D43</f>
        <v>-160</v>
      </c>
      <c r="E44" s="256">
        <f>E43</f>
        <v>3034</v>
      </c>
      <c r="F44" s="256">
        <f>D42</f>
        <v>-160</v>
      </c>
      <c r="G44" s="256">
        <f>E42</f>
        <v>3050</v>
      </c>
      <c r="H44" s="256" t="s">
        <v>14</v>
      </c>
      <c r="I44" s="261">
        <v>1</v>
      </c>
      <c r="M44" s="300" t="s">
        <v>185</v>
      </c>
      <c r="N44" s="256">
        <f>N28</f>
        <v>0.76923076923076916</v>
      </c>
      <c r="O44" s="256">
        <f>G27-N44*F27</f>
        <v>2972.9230769230771</v>
      </c>
      <c r="T44" s="261"/>
      <c r="W44" s="260"/>
      <c r="X44" s="283" t="s">
        <v>83</v>
      </c>
      <c r="Y44" s="306" t="s">
        <v>84</v>
      </c>
      <c r="AF44" s="260">
        <v>8</v>
      </c>
      <c r="AG44" s="256">
        <v>0.80000000000000071</v>
      </c>
      <c r="AH44" s="256">
        <v>8</v>
      </c>
      <c r="AI44" s="256">
        <v>-28.7</v>
      </c>
      <c r="AK44" s="256">
        <v>810.47279718297762</v>
      </c>
      <c r="AL44" s="256">
        <v>2407.5853636621291</v>
      </c>
      <c r="AM44" s="256">
        <v>810.47279718297762</v>
      </c>
      <c r="AN44" s="256">
        <v>2378.0853636621291</v>
      </c>
      <c r="AP44" s="256">
        <f t="shared" si="15"/>
        <v>807.98458246105884</v>
      </c>
      <c r="AQ44" s="256">
        <f t="shared" si="16"/>
        <v>2400.932140357972</v>
      </c>
      <c r="AR44" s="256">
        <f t="shared" si="17"/>
        <v>784.60217478247318</v>
      </c>
      <c r="AS44" s="261">
        <f t="shared" si="19"/>
        <v>2382.945672912906</v>
      </c>
    </row>
    <row r="45" spans="3:45" ht="15.75" thickBot="1" x14ac:dyDescent="0.3">
      <c r="C45" s="399"/>
      <c r="D45" s="256">
        <f>F42</f>
        <v>160</v>
      </c>
      <c r="E45" s="256">
        <f>G42</f>
        <v>3050</v>
      </c>
      <c r="F45" s="256">
        <f>F43</f>
        <v>160</v>
      </c>
      <c r="G45" s="256">
        <f>G43</f>
        <v>3034</v>
      </c>
      <c r="H45" s="256" t="s">
        <v>14</v>
      </c>
      <c r="I45" s="261">
        <v>1</v>
      </c>
      <c r="M45" s="260"/>
      <c r="N45" s="283" t="s">
        <v>83</v>
      </c>
      <c r="O45" s="283" t="s">
        <v>84</v>
      </c>
      <c r="T45" s="261"/>
      <c r="W45" s="260" t="s">
        <v>306</v>
      </c>
      <c r="X45" s="256">
        <f>(Y43-O21)/(N21-X43)</f>
        <v>1374.3879735481114</v>
      </c>
      <c r="Y45" s="261">
        <f>X45*X43+Y43</f>
        <v>1663.295634387455</v>
      </c>
      <c r="AF45" s="260">
        <v>4.5</v>
      </c>
      <c r="AG45" s="256">
        <v>-32.200000000000003</v>
      </c>
      <c r="AH45" s="256">
        <v>3</v>
      </c>
      <c r="AI45" s="256">
        <v>-32.200000000000003</v>
      </c>
      <c r="AK45" s="256">
        <v>806.97279718297762</v>
      </c>
      <c r="AL45" s="256">
        <v>2374.5853636621291</v>
      </c>
      <c r="AM45" s="256">
        <v>805.47279718297762</v>
      </c>
      <c r="AN45" s="256">
        <v>2374.5853636621291</v>
      </c>
      <c r="AP45" s="256">
        <f t="shared" si="15"/>
        <v>779.69400315763312</v>
      </c>
      <c r="AQ45" s="256">
        <f t="shared" si="16"/>
        <v>2383.5858692117981</v>
      </c>
      <c r="AR45" s="256">
        <f t="shared" si="17"/>
        <v>778.77943701635854</v>
      </c>
      <c r="AS45" s="261">
        <f t="shared" si="19"/>
        <v>2384.774805195455</v>
      </c>
    </row>
    <row r="46" spans="3:45" ht="30.75" thickBot="1" x14ac:dyDescent="0.3">
      <c r="C46" s="399"/>
      <c r="D46" s="256">
        <f>W9-Parametry!P14/2</f>
        <v>-150</v>
      </c>
      <c r="E46" s="256">
        <f>E43</f>
        <v>3034</v>
      </c>
      <c r="F46" s="256">
        <f>D46</f>
        <v>-150</v>
      </c>
      <c r="G46" s="256">
        <f>E7-Parametry!F31/2-Parametry!U10</f>
        <v>1024</v>
      </c>
      <c r="H46" s="256" t="s">
        <v>14</v>
      </c>
      <c r="I46" s="261">
        <v>1</v>
      </c>
      <c r="M46" s="260" t="s">
        <v>186</v>
      </c>
      <c r="N46" s="256">
        <f>(O44-O29)/(N29-N44)</f>
        <v>240.70320787838256</v>
      </c>
      <c r="O46" s="256">
        <f>N46*N44+O44</f>
        <v>3158.079390675679</v>
      </c>
      <c r="R46" s="257" t="s">
        <v>187</v>
      </c>
      <c r="S46" s="259">
        <f>SQRT(POWER(O46-O25,2)+POWER(N46-N25,2))</f>
        <v>254.44028383082696</v>
      </c>
      <c r="T46" s="261"/>
      <c r="W46" s="318" t="s">
        <v>308</v>
      </c>
      <c r="X46" s="264">
        <f>X41+(X45-X41)*Parametry!P33</f>
        <v>802.47279718297762</v>
      </c>
      <c r="Y46" s="265">
        <f>Y41-(Y41-Y45)*Parametry!P33</f>
        <v>2406.7853636621289</v>
      </c>
      <c r="AF46" s="260">
        <v>0</v>
      </c>
      <c r="AG46" s="256">
        <f>-(Parametry!F33-Parametry!J33)-Parametry!R33*Parametry!F33</f>
        <v>-54.7</v>
      </c>
      <c r="AH46" s="256">
        <f>AF46</f>
        <v>0</v>
      </c>
      <c r="AI46" s="256">
        <f>Parametry!J33+Parametry!R33*Parametry!F33</f>
        <v>35.299999999999997</v>
      </c>
      <c r="AK46" s="256">
        <v>802.47279718297762</v>
      </c>
      <c r="AL46" s="256">
        <v>2352.0853636621291</v>
      </c>
      <c r="AM46" s="256">
        <v>802.47279718297762</v>
      </c>
      <c r="AN46" s="256">
        <v>2442.0853636621291</v>
      </c>
      <c r="AP46" s="256">
        <f t="shared" si="15"/>
        <v>759.116264978956</v>
      </c>
      <c r="AQ46" s="256">
        <f t="shared" si="16"/>
        <v>2373.4341850436508</v>
      </c>
      <c r="AR46" s="256">
        <f t="shared" si="17"/>
        <v>830.45242399837002</v>
      </c>
      <c r="AS46" s="261">
        <f t="shared" si="19"/>
        <v>2428.3081535201231</v>
      </c>
    </row>
    <row r="47" spans="3:45" ht="15.75" thickBot="1" x14ac:dyDescent="0.3">
      <c r="C47" s="399"/>
      <c r="D47" s="256">
        <f>D46+Parametry!S14</f>
        <v>-131</v>
      </c>
      <c r="E47" s="256">
        <f>E46</f>
        <v>3034</v>
      </c>
      <c r="F47" s="256">
        <f>D47</f>
        <v>-131</v>
      </c>
      <c r="G47" s="256">
        <f>G46</f>
        <v>1024</v>
      </c>
      <c r="H47" s="256" t="s">
        <v>14</v>
      </c>
      <c r="I47" s="261">
        <v>1</v>
      </c>
      <c r="M47" s="260" t="s">
        <v>193</v>
      </c>
      <c r="N47" s="256">
        <f>(O44-O43)/(N43-N44)</f>
        <v>205.03512836867566</v>
      </c>
      <c r="O47" s="256">
        <f>N47*N44+O44</f>
        <v>3130.6424064374432</v>
      </c>
      <c r="R47" s="263" t="s">
        <v>194</v>
      </c>
      <c r="S47" s="265">
        <f>S46*Parametry!Q37/Parametry!Q35</f>
        <v>134.85861834511741</v>
      </c>
      <c r="T47" s="261"/>
      <c r="W47" s="391" t="s">
        <v>310</v>
      </c>
      <c r="X47" s="392"/>
      <c r="Y47" s="393"/>
      <c r="AF47" s="260">
        <f>AF36-Parametry!Q33*Parametry!F33</f>
        <v>-61.5</v>
      </c>
      <c r="AG47" s="256">
        <f>AG46</f>
        <v>-54.7</v>
      </c>
      <c r="AH47" s="256">
        <f>AF47</f>
        <v>-61.5</v>
      </c>
      <c r="AI47" s="256">
        <f>AI46</f>
        <v>35.299999999999997</v>
      </c>
      <c r="AK47" s="256">
        <v>740.97279718297762</v>
      </c>
      <c r="AL47" s="256">
        <v>2352.0853636621291</v>
      </c>
      <c r="AM47" s="256">
        <v>740.97279718297762</v>
      </c>
      <c r="AN47" s="256">
        <v>2442.0853636621291</v>
      </c>
      <c r="AP47" s="256">
        <f t="shared" si="15"/>
        <v>721.61905318669994</v>
      </c>
      <c r="AQ47" s="256">
        <f t="shared" si="16"/>
        <v>2422.1805603735838</v>
      </c>
      <c r="AR47" s="256">
        <f t="shared" si="17"/>
        <v>792.95521220611397</v>
      </c>
      <c r="AS47" s="261">
        <f t="shared" si="19"/>
        <v>2477.0545288500562</v>
      </c>
    </row>
    <row r="48" spans="3:45" ht="15.75" thickBot="1" x14ac:dyDescent="0.3">
      <c r="C48" s="399"/>
      <c r="D48" s="256">
        <f>D46+Parametry!P14</f>
        <v>150</v>
      </c>
      <c r="E48" s="256">
        <f>E46</f>
        <v>3034</v>
      </c>
      <c r="F48" s="256">
        <f>D48</f>
        <v>150</v>
      </c>
      <c r="G48" s="256">
        <f>G47</f>
        <v>1024</v>
      </c>
      <c r="H48" s="256" t="s">
        <v>14</v>
      </c>
      <c r="I48" s="261">
        <v>1</v>
      </c>
      <c r="M48" s="260"/>
      <c r="N48" s="283" t="s">
        <v>170</v>
      </c>
      <c r="O48" s="283" t="s">
        <v>67</v>
      </c>
      <c r="T48" s="261"/>
      <c r="W48" s="260"/>
      <c r="X48" s="283" t="s">
        <v>170</v>
      </c>
      <c r="Y48" s="306" t="s">
        <v>67</v>
      </c>
      <c r="AF48" s="260">
        <f>-AF47</f>
        <v>61.5</v>
      </c>
      <c r="AG48" s="256">
        <f>AG47</f>
        <v>-54.7</v>
      </c>
      <c r="AH48" s="256">
        <f>-AH47</f>
        <v>61.5</v>
      </c>
      <c r="AI48" s="256">
        <f>AI47</f>
        <v>35.299999999999997</v>
      </c>
      <c r="AK48" s="256">
        <v>863.97279718297762</v>
      </c>
      <c r="AL48" s="256">
        <v>2352.0853636621291</v>
      </c>
      <c r="AM48" s="256">
        <v>863.97279718297762</v>
      </c>
      <c r="AN48" s="256">
        <v>2442.0853636621291</v>
      </c>
      <c r="AP48" s="256">
        <f t="shared" si="15"/>
        <v>796.61347677121205</v>
      </c>
      <c r="AQ48" s="256">
        <f t="shared" si="16"/>
        <v>2324.6878097137178</v>
      </c>
      <c r="AR48" s="256">
        <f t="shared" si="17"/>
        <v>867.94963579062608</v>
      </c>
      <c r="AS48" s="261">
        <f t="shared" si="19"/>
        <v>2379.5617781901901</v>
      </c>
    </row>
    <row r="49" spans="3:45" ht="30" x14ac:dyDescent="0.25">
      <c r="C49" s="399"/>
      <c r="D49" s="256">
        <f>F48-Parametry!S14</f>
        <v>131</v>
      </c>
      <c r="E49" s="256">
        <f>E48</f>
        <v>3034</v>
      </c>
      <c r="F49" s="256">
        <f>D49</f>
        <v>131</v>
      </c>
      <c r="G49" s="256">
        <f>G48</f>
        <v>1024</v>
      </c>
      <c r="H49" s="256" t="s">
        <v>14</v>
      </c>
      <c r="I49" s="261">
        <v>1</v>
      </c>
      <c r="M49" s="260" t="s">
        <v>195</v>
      </c>
      <c r="N49" s="256">
        <f>N28</f>
        <v>0.76923076923076916</v>
      </c>
      <c r="O49" s="256">
        <f>Q49-N49*N47+O47</f>
        <v>3143.0650612673344</v>
      </c>
      <c r="Q49" s="256">
        <f>S47*SQRT(POWER(N49,2)+1)</f>
        <v>170.141984344257</v>
      </c>
      <c r="T49" s="261"/>
      <c r="W49" s="300" t="s">
        <v>311</v>
      </c>
      <c r="X49" s="256">
        <f>-1/N83</f>
        <v>-0.69444444444444442</v>
      </c>
      <c r="Y49" s="261">
        <f>O174-N174*X49</f>
        <v>2861.232735502419</v>
      </c>
      <c r="AF49" s="391" t="s">
        <v>105</v>
      </c>
      <c r="AG49" s="392"/>
      <c r="AH49" s="392"/>
      <c r="AI49" s="392"/>
      <c r="AJ49" s="392"/>
      <c r="AK49" s="392"/>
      <c r="AL49" s="392"/>
      <c r="AM49" s="392"/>
      <c r="AN49" s="392"/>
      <c r="AO49" s="392"/>
      <c r="AP49" s="392"/>
      <c r="AQ49" s="392"/>
      <c r="AR49" s="392"/>
      <c r="AS49" s="393"/>
    </row>
    <row r="50" spans="3:45" ht="30" x14ac:dyDescent="0.25">
      <c r="C50" s="399"/>
      <c r="D50" s="256">
        <f>W9-Parametry!P12/2</f>
        <v>-10</v>
      </c>
      <c r="E50" s="256">
        <f>E46</f>
        <v>3034</v>
      </c>
      <c r="F50" s="256">
        <f>D50</f>
        <v>-10</v>
      </c>
      <c r="G50" s="256">
        <f>E50-Parametry!R12</f>
        <v>2714</v>
      </c>
      <c r="H50" s="256" t="s">
        <v>14</v>
      </c>
      <c r="I50" s="261">
        <v>1</v>
      </c>
      <c r="M50" s="260"/>
      <c r="N50" s="283" t="s">
        <v>83</v>
      </c>
      <c r="O50" s="283" t="s">
        <v>84</v>
      </c>
      <c r="T50" s="261"/>
      <c r="W50" s="300" t="s">
        <v>312</v>
      </c>
      <c r="X50" s="256">
        <f>X49</f>
        <v>-0.69444444444444442</v>
      </c>
      <c r="Y50" s="261">
        <f>O180-N180*X50</f>
        <v>5395.6852733386868</v>
      </c>
      <c r="AF50" s="260">
        <f>AF34-(Parametry!G33-Parametry!I33)</f>
        <v>-4.5</v>
      </c>
      <c r="AG50" s="256">
        <f>AI38</f>
        <v>-28.7</v>
      </c>
      <c r="AK50" s="256" cm="1">
        <f t="array" ref="AK50:AK55">AM32+AF50:AF55</f>
        <v>797.97279718297762</v>
      </c>
      <c r="AL50" s="256" cm="1">
        <f t="array" ref="AL50:AL55">AN32+AG50:AG55</f>
        <v>2378.0853636621291</v>
      </c>
      <c r="AP50" s="256">
        <f>$AM$32+AF50*COS($AR$32)-AG50*SIN($AR$32)</f>
        <v>776.98079027185202</v>
      </c>
      <c r="AQ50" s="256">
        <f>$AN$32+AF50*SIN($AR$32)+AG50*COS($AR$32)</f>
        <v>2392.8534727767133</v>
      </c>
      <c r="AS50" s="261"/>
    </row>
    <row r="51" spans="3:45" x14ac:dyDescent="0.25">
      <c r="C51" s="399"/>
      <c r="D51" s="256">
        <f>F50</f>
        <v>-10</v>
      </c>
      <c r="E51" s="256">
        <f>G50</f>
        <v>2714</v>
      </c>
      <c r="F51" s="256">
        <f>D51+Parametry!P12</f>
        <v>10</v>
      </c>
      <c r="G51" s="256">
        <f>E51</f>
        <v>2714</v>
      </c>
      <c r="H51" s="256" t="s">
        <v>14</v>
      </c>
      <c r="I51" s="261">
        <v>1</v>
      </c>
      <c r="M51" s="260" t="s">
        <v>196</v>
      </c>
      <c r="N51" s="256">
        <f>(O49-O43)/(N43-N49)</f>
        <v>122.81037757033572</v>
      </c>
      <c r="O51" s="256">
        <f>N51*N49+O49</f>
        <v>3237.5345824752849</v>
      </c>
      <c r="T51" s="261"/>
      <c r="W51" s="260"/>
      <c r="X51" s="283" t="s">
        <v>83</v>
      </c>
      <c r="Y51" s="306" t="s">
        <v>84</v>
      </c>
      <c r="AF51" s="260">
        <f>AF36+Parametry!I33</f>
        <v>-44.5</v>
      </c>
      <c r="AG51" s="256">
        <f>AI36</f>
        <v>11.3</v>
      </c>
      <c r="AK51" s="256">
        <v>757.97279718297762</v>
      </c>
      <c r="AL51" s="256">
        <v>2418.0853636621291</v>
      </c>
      <c r="AP51" s="256">
        <f t="shared" ref="AP51:AP55" si="20">$AM$32+AF51*COS($AR$32)-AG51*SIN($AR$32)</f>
        <v>784.29731940204829</v>
      </c>
      <c r="AQ51" s="256">
        <f t="shared" ref="AQ51:AQ55" si="21">$AN$32+AF51*SIN($AR$32)+AG51*COS($AR$32)</f>
        <v>2448.9468627748852</v>
      </c>
      <c r="AS51" s="261"/>
    </row>
    <row r="52" spans="3:45" ht="15.75" thickBot="1" x14ac:dyDescent="0.3">
      <c r="C52" s="399"/>
      <c r="D52" s="256">
        <f>F51</f>
        <v>10</v>
      </c>
      <c r="E52" s="256">
        <f>G51</f>
        <v>2714</v>
      </c>
      <c r="F52" s="256">
        <f>D52</f>
        <v>10</v>
      </c>
      <c r="G52" s="256">
        <f>E50</f>
        <v>3034</v>
      </c>
      <c r="H52" s="256" t="s">
        <v>14</v>
      </c>
      <c r="I52" s="261">
        <v>1</v>
      </c>
      <c r="M52" s="263" t="s">
        <v>197</v>
      </c>
      <c r="N52" s="264">
        <f>(O43-O33)/(N33-N43)</f>
        <v>739.45309294155356</v>
      </c>
      <c r="O52" s="264">
        <f>N52*N43+O43</f>
        <v>2435.8990524927017</v>
      </c>
      <c r="P52" s="264"/>
      <c r="Q52" s="264"/>
      <c r="R52" s="264"/>
      <c r="S52" s="264"/>
      <c r="T52" s="265"/>
      <c r="W52" s="260" t="s">
        <v>313</v>
      </c>
      <c r="X52" s="256">
        <f>(Y49-O83)/(N83-X49)</f>
        <v>1649.7186163207587</v>
      </c>
      <c r="Y52" s="261">
        <f>X52*X49+Y49</f>
        <v>1715.5948075018923</v>
      </c>
      <c r="AF52" s="260">
        <f>AH37</f>
        <v>-15</v>
      </c>
      <c r="AG52" s="256">
        <f>AG38</f>
        <v>0.80000000000000071</v>
      </c>
      <c r="AK52" s="256">
        <v>787.47279718297762</v>
      </c>
      <c r="AL52" s="256">
        <v>2407.5853636621291</v>
      </c>
      <c r="AP52" s="256">
        <f t="shared" si="20"/>
        <v>793.96123496151586</v>
      </c>
      <c r="AQ52" s="256">
        <f t="shared" si="21"/>
        <v>2419.1624921073776</v>
      </c>
      <c r="AS52" s="261"/>
    </row>
    <row r="53" spans="3:45" ht="15.75" thickBot="1" x14ac:dyDescent="0.3">
      <c r="C53" s="400"/>
      <c r="D53" s="264">
        <f>D46-Parametry!U15*Parametry!P14</f>
        <v>-240</v>
      </c>
      <c r="E53" s="264">
        <f>G46</f>
        <v>1024</v>
      </c>
      <c r="F53" s="264">
        <f>D48+Parametry!U15*Parametry!P14</f>
        <v>240</v>
      </c>
      <c r="G53" s="264">
        <f>E53</f>
        <v>1024</v>
      </c>
      <c r="H53" s="264" t="s">
        <v>92</v>
      </c>
      <c r="I53" s="265">
        <v>22</v>
      </c>
      <c r="M53" s="391" t="s">
        <v>209</v>
      </c>
      <c r="N53" s="392"/>
      <c r="O53" s="392"/>
      <c r="P53" s="392"/>
      <c r="Q53" s="392"/>
      <c r="R53" s="392"/>
      <c r="S53" s="392"/>
      <c r="T53" s="393"/>
      <c r="W53" s="260" t="s">
        <v>314</v>
      </c>
      <c r="X53" s="256">
        <f>(Y50-O83)/(N83-X50)</f>
        <v>2837.1248027094321</v>
      </c>
      <c r="Y53" s="261">
        <f>X53*X50+Y50</f>
        <v>3425.4597159015811</v>
      </c>
      <c r="AF53" s="260" cm="1">
        <f t="array" ref="AF53:AF55">-AF50:AF52</f>
        <v>4.5</v>
      </c>
      <c r="AG53" s="256" cm="1">
        <f t="array" ref="AG53:AG55">AG50:AG52</f>
        <v>-28.7</v>
      </c>
      <c r="AK53" s="256">
        <v>806.97279718297762</v>
      </c>
      <c r="AL53" s="256">
        <v>2378.0853636621291</v>
      </c>
      <c r="AP53" s="256">
        <f t="shared" si="20"/>
        <v>782.46818711949925</v>
      </c>
      <c r="AQ53" s="256">
        <f t="shared" si="21"/>
        <v>2385.7198568747722</v>
      </c>
      <c r="AS53" s="261"/>
    </row>
    <row r="54" spans="3:45" ht="30.75" thickBot="1" x14ac:dyDescent="0.3">
      <c r="C54" s="391" t="s">
        <v>124</v>
      </c>
      <c r="D54" s="258">
        <f t="shared" ref="D54:D65" si="22">W17+$W$14</f>
        <v>2523.0000000000005</v>
      </c>
      <c r="E54" s="258">
        <f>X17+$X$14</f>
        <v>1448</v>
      </c>
      <c r="F54" s="258">
        <f>Y17+$W$14</f>
        <v>2523.0000000000005</v>
      </c>
      <c r="G54" s="258">
        <f>Z17+$X$14</f>
        <v>1552</v>
      </c>
      <c r="H54" s="258" t="s">
        <v>11</v>
      </c>
      <c r="I54" s="259">
        <v>1</v>
      </c>
      <c r="M54" s="260"/>
      <c r="N54" s="283" t="s">
        <v>170</v>
      </c>
      <c r="O54" s="283" t="s">
        <v>67</v>
      </c>
      <c r="T54" s="261"/>
      <c r="W54" s="318" t="s">
        <v>315</v>
      </c>
      <c r="X54" s="264">
        <f>X52+(X53-X52)*Parametry!P33</f>
        <v>2243.4217095150952</v>
      </c>
      <c r="Y54" s="265">
        <f>Y52+(Y53-Y52)*Parametry!P33</f>
        <v>2570.5272617017367</v>
      </c>
      <c r="AF54" s="260">
        <v>44.5</v>
      </c>
      <c r="AG54" s="256">
        <v>11.3</v>
      </c>
      <c r="AK54" s="256">
        <v>846.97279718297762</v>
      </c>
      <c r="AL54" s="256">
        <v>2418.0853636621291</v>
      </c>
      <c r="AP54" s="256">
        <f t="shared" si="20"/>
        <v>838.56157711767082</v>
      </c>
      <c r="AQ54" s="256">
        <f t="shared" si="21"/>
        <v>2378.4033277445756</v>
      </c>
      <c r="AS54" s="261"/>
    </row>
    <row r="55" spans="3:45" ht="15.75" thickBot="1" x14ac:dyDescent="0.3">
      <c r="C55" s="399"/>
      <c r="D55" s="256">
        <f t="shared" si="22"/>
        <v>2517.0000000000005</v>
      </c>
      <c r="E55" s="256">
        <f t="shared" ref="E55:E68" si="23">X18+$X$14</f>
        <v>1448</v>
      </c>
      <c r="F55" s="256">
        <f t="shared" ref="F55:F68" si="24">Y18+$W$14</f>
        <v>2517.0000000000005</v>
      </c>
      <c r="G55" s="256">
        <f t="shared" ref="G55:G68" si="25">Z18+$X$14</f>
        <v>1552</v>
      </c>
      <c r="H55" s="256" t="s">
        <v>11</v>
      </c>
      <c r="I55" s="261">
        <v>1</v>
      </c>
      <c r="M55" s="260" t="s">
        <v>210</v>
      </c>
      <c r="N55" s="256">
        <v>0</v>
      </c>
      <c r="O55" s="256">
        <f>E72</f>
        <v>1576</v>
      </c>
      <c r="T55" s="261"/>
      <c r="AF55" s="263">
        <v>15</v>
      </c>
      <c r="AG55" s="264">
        <v>0.80000000000000071</v>
      </c>
      <c r="AH55" s="264"/>
      <c r="AI55" s="264"/>
      <c r="AJ55" s="264"/>
      <c r="AK55" s="264">
        <v>817.47279718297762</v>
      </c>
      <c r="AL55" s="264">
        <v>2407.5853636621291</v>
      </c>
      <c r="AM55" s="264"/>
      <c r="AN55" s="264"/>
      <c r="AO55" s="264"/>
      <c r="AP55" s="264">
        <f t="shared" si="20"/>
        <v>812.25255778700671</v>
      </c>
      <c r="AQ55" s="264">
        <f t="shared" si="21"/>
        <v>2395.3837724342397</v>
      </c>
      <c r="AR55" s="264"/>
      <c r="AS55" s="265"/>
    </row>
    <row r="56" spans="3:45" ht="15.75" thickBot="1" x14ac:dyDescent="0.3">
      <c r="C56" s="399"/>
      <c r="D56" s="256">
        <f t="shared" si="22"/>
        <v>2538.0000000000005</v>
      </c>
      <c r="E56" s="256">
        <f t="shared" si="23"/>
        <v>1567</v>
      </c>
      <c r="F56" s="256">
        <f t="shared" si="24"/>
        <v>2600.0000000000005</v>
      </c>
      <c r="G56" s="256">
        <f t="shared" si="25"/>
        <v>1567</v>
      </c>
      <c r="H56" s="256" t="s">
        <v>11</v>
      </c>
      <c r="I56" s="261">
        <v>1</v>
      </c>
      <c r="M56" s="260"/>
      <c r="N56" s="283" t="s">
        <v>83</v>
      </c>
      <c r="O56" s="283" t="s">
        <v>84</v>
      </c>
      <c r="T56" s="261"/>
      <c r="AF56" s="260"/>
      <c r="AS56" s="261"/>
    </row>
    <row r="57" spans="3:45" x14ac:dyDescent="0.25">
      <c r="C57" s="399"/>
      <c r="D57" s="256">
        <f t="shared" si="22"/>
        <v>2538.0000000000005</v>
      </c>
      <c r="E57" s="256">
        <f t="shared" si="23"/>
        <v>1433</v>
      </c>
      <c r="F57" s="256">
        <f t="shared" si="24"/>
        <v>2600.0000000000005</v>
      </c>
      <c r="G57" s="256">
        <f t="shared" si="25"/>
        <v>1433</v>
      </c>
      <c r="H57" s="256" t="s">
        <v>11</v>
      </c>
      <c r="I57" s="261">
        <v>1</v>
      </c>
      <c r="M57" s="260" t="s">
        <v>216</v>
      </c>
      <c r="N57" s="256">
        <f>MIN(Q57:R57)</f>
        <v>1385.5292871667086</v>
      </c>
      <c r="O57" s="256">
        <f>N57*N43+O43</f>
        <v>1596</v>
      </c>
      <c r="Q57" s="256">
        <f>(Parametry!O33-'Obliczenia i dane'!O43+'Obliczenia i dane'!O55)/N43</f>
        <v>1385.5292871667086</v>
      </c>
      <c r="R57" s="256">
        <f>(-Parametry!O33-O43+O55)/N43</f>
        <v>1416.2985179359393</v>
      </c>
      <c r="T57" s="261"/>
      <c r="AF57" s="270" t="s">
        <v>99</v>
      </c>
      <c r="AG57" s="290" t="s">
        <v>100</v>
      </c>
      <c r="AH57" s="290" t="s">
        <v>101</v>
      </c>
      <c r="AI57" s="290" t="s">
        <v>102</v>
      </c>
      <c r="AJ57" s="290" t="s">
        <v>103</v>
      </c>
      <c r="AK57" s="290" t="s">
        <v>97</v>
      </c>
      <c r="AL57" s="291" t="s">
        <v>19</v>
      </c>
      <c r="AS57" s="261"/>
    </row>
    <row r="58" spans="3:45" ht="15.75" thickBot="1" x14ac:dyDescent="0.3">
      <c r="C58" s="399"/>
      <c r="D58" s="256">
        <f t="shared" si="22"/>
        <v>2502.0000000000005</v>
      </c>
      <c r="E58" s="256">
        <f t="shared" si="23"/>
        <v>1567</v>
      </c>
      <c r="F58" s="256">
        <f t="shared" si="24"/>
        <v>2440.0000000000005</v>
      </c>
      <c r="G58" s="256">
        <f t="shared" si="25"/>
        <v>1567</v>
      </c>
      <c r="H58" s="256" t="s">
        <v>11</v>
      </c>
      <c r="I58" s="261">
        <v>1</v>
      </c>
      <c r="M58" s="260" t="s">
        <v>217</v>
      </c>
      <c r="N58" s="256">
        <f>MIN(Q58:R58)</f>
        <v>1426.1538461538462</v>
      </c>
      <c r="O58" s="256">
        <f>N58*N21+O21</f>
        <v>1596</v>
      </c>
      <c r="Q58" s="256">
        <f>(Parametry!O33-'Obliczenia i dane'!O21+'Obliczenia i dane'!O55)/N21</f>
        <v>1426.1538461538462</v>
      </c>
      <c r="R58" s="256">
        <f>(-Parametry!O33-O21+O55)/N21</f>
        <v>1456.9230769230769</v>
      </c>
      <c r="T58" s="261"/>
      <c r="AF58" s="260" cm="1">
        <f t="array" ref="AF58:AF63">AP50:AP55</f>
        <v>776.98079027185202</v>
      </c>
      <c r="AG58" s="256" cm="1">
        <f t="array" ref="AG58:AG63">AQ50:AQ55</f>
        <v>2392.8534727767133</v>
      </c>
      <c r="AH58" s="256">
        <f>Parametry!I33</f>
        <v>3.5</v>
      </c>
      <c r="AI58" s="256">
        <f>RADIANS(180)+$AR$32</f>
        <v>2.2264919530364327</v>
      </c>
      <c r="AJ58" s="256">
        <f>RADIANS(270)+$AR$32</f>
        <v>3.7972882798313292</v>
      </c>
      <c r="AK58" s="256" t="s">
        <v>11</v>
      </c>
      <c r="AL58" s="261">
        <v>1</v>
      </c>
      <c r="AS58" s="261"/>
    </row>
    <row r="59" spans="3:45" x14ac:dyDescent="0.25">
      <c r="C59" s="399"/>
      <c r="D59" s="256">
        <f t="shared" si="22"/>
        <v>2502.0000000000005</v>
      </c>
      <c r="E59" s="256">
        <f t="shared" si="23"/>
        <v>1433</v>
      </c>
      <c r="F59" s="256">
        <f t="shared" si="24"/>
        <v>2440.0000000000005</v>
      </c>
      <c r="G59" s="256">
        <f t="shared" si="25"/>
        <v>1433</v>
      </c>
      <c r="H59" s="256" t="s">
        <v>11</v>
      </c>
      <c r="I59" s="261">
        <v>1</v>
      </c>
      <c r="M59" s="260"/>
      <c r="Q59" s="257" t="s">
        <v>214</v>
      </c>
      <c r="R59" s="258">
        <f>ATAN((Parametry!F33-Parametry!J33)/(Parametry!Q35-Parametry!Q37))</f>
        <v>0.67897660182464947</v>
      </c>
      <c r="S59" s="259">
        <f>DEGREES(R59)</f>
        <v>38.902493672687008</v>
      </c>
      <c r="T59" s="261"/>
      <c r="AF59" s="260">
        <v>784.29731940204829</v>
      </c>
      <c r="AG59" s="256">
        <v>2448.9468627748852</v>
      </c>
      <c r="AH59" s="256">
        <f>AH58</f>
        <v>3.5</v>
      </c>
      <c r="AI59" s="256">
        <f t="shared" ref="AI59" si="26">RADIANS(180)+$AR$32</f>
        <v>2.2264919530364327</v>
      </c>
      <c r="AJ59" s="256">
        <f t="shared" ref="AJ59" si="27">RADIANS(270)+$AR$32</f>
        <v>3.7972882798313292</v>
      </c>
      <c r="AK59" s="256" t="s">
        <v>11</v>
      </c>
      <c r="AL59" s="261">
        <v>1</v>
      </c>
      <c r="AS59" s="261"/>
    </row>
    <row r="60" spans="3:45" ht="15.75" thickBot="1" x14ac:dyDescent="0.3">
      <c r="C60" s="399"/>
      <c r="D60" s="256">
        <f t="shared" si="22"/>
        <v>2440.0000000000005</v>
      </c>
      <c r="E60" s="256">
        <f t="shared" si="23"/>
        <v>1433</v>
      </c>
      <c r="F60" s="256">
        <f t="shared" si="24"/>
        <v>2440.0000000000005</v>
      </c>
      <c r="G60" s="256">
        <f t="shared" si="25"/>
        <v>1424</v>
      </c>
      <c r="H60" s="256" t="s">
        <v>11</v>
      </c>
      <c r="I60" s="261">
        <v>1</v>
      </c>
      <c r="M60" s="260"/>
      <c r="Q60" s="263" t="s">
        <v>215</v>
      </c>
      <c r="R60" s="264">
        <f>ATAN((E9-E10)/(D10-D9))</f>
        <v>0.91510070055336046</v>
      </c>
      <c r="S60" s="265">
        <f>DEGREES(R60)</f>
        <v>52.431407971172511</v>
      </c>
      <c r="T60" s="261"/>
      <c r="AF60" s="260">
        <v>793.96123496151586</v>
      </c>
      <c r="AG60" s="256">
        <v>2419.1624921073776</v>
      </c>
      <c r="AH60" s="256">
        <f>Parametry!H33</f>
        <v>7</v>
      </c>
      <c r="AI60" s="256">
        <f>RADIANS(0)+$AR$32</f>
        <v>-0.91510070055336046</v>
      </c>
      <c r="AJ60" s="256">
        <f>RADIANS(90)+$AR$32</f>
        <v>0.6556956262415361</v>
      </c>
      <c r="AK60" s="256" t="s">
        <v>11</v>
      </c>
      <c r="AL60" s="261">
        <v>1</v>
      </c>
      <c r="AS60" s="261"/>
    </row>
    <row r="61" spans="3:45" x14ac:dyDescent="0.25">
      <c r="C61" s="399"/>
      <c r="D61" s="256">
        <f t="shared" si="22"/>
        <v>2600.0000000000005</v>
      </c>
      <c r="E61" s="256">
        <f t="shared" si="23"/>
        <v>1433</v>
      </c>
      <c r="F61" s="256">
        <f t="shared" si="24"/>
        <v>2600.0000000000005</v>
      </c>
      <c r="G61" s="256">
        <f t="shared" si="25"/>
        <v>1424</v>
      </c>
      <c r="H61" s="256" t="s">
        <v>11</v>
      </c>
      <c r="I61" s="261">
        <v>1</v>
      </c>
      <c r="M61" s="260"/>
      <c r="N61" s="283" t="s">
        <v>83</v>
      </c>
      <c r="O61" s="283" t="s">
        <v>84</v>
      </c>
      <c r="T61" s="261"/>
      <c r="AF61" s="260">
        <v>782.46818711949925</v>
      </c>
      <c r="AG61" s="256">
        <v>2385.7198568747722</v>
      </c>
      <c r="AH61" s="256">
        <f>AH59</f>
        <v>3.5</v>
      </c>
      <c r="AI61" s="256">
        <f>RADIANS(270)+$AR$32</f>
        <v>3.7972882798313292</v>
      </c>
      <c r="AJ61" s="256">
        <f>RADIANS(360)+$AR$32</f>
        <v>5.3680846066262262</v>
      </c>
      <c r="AK61" s="256" t="s">
        <v>11</v>
      </c>
      <c r="AL61" s="261">
        <v>1</v>
      </c>
      <c r="AS61" s="261"/>
    </row>
    <row r="62" spans="3:45" ht="15.75" thickBot="1" x14ac:dyDescent="0.3">
      <c r="C62" s="399"/>
      <c r="D62" s="256">
        <f t="shared" si="22"/>
        <v>2440.0000000000005</v>
      </c>
      <c r="E62" s="256">
        <f t="shared" si="23"/>
        <v>1424</v>
      </c>
      <c r="F62" s="256">
        <f t="shared" si="24"/>
        <v>2600.0000000000005</v>
      </c>
      <c r="G62" s="256">
        <f t="shared" si="25"/>
        <v>1424</v>
      </c>
      <c r="H62" s="256" t="s">
        <v>11</v>
      </c>
      <c r="I62" s="261">
        <v>1</v>
      </c>
      <c r="M62" s="260" t="s">
        <v>217</v>
      </c>
      <c r="N62" s="256">
        <f>N58</f>
        <v>1426.1538461538462</v>
      </c>
      <c r="O62" s="256">
        <f>O58</f>
        <v>1596</v>
      </c>
      <c r="T62" s="261"/>
      <c r="AF62" s="260">
        <v>838.56157711767082</v>
      </c>
      <c r="AG62" s="256">
        <v>2378.4033277445756</v>
      </c>
      <c r="AH62" s="256">
        <f>AH61</f>
        <v>3.5</v>
      </c>
      <c r="AI62" s="256">
        <f>RADIANS(270)+$AR$32</f>
        <v>3.7972882798313292</v>
      </c>
      <c r="AJ62" s="256">
        <f>RADIANS(360)+$AR$32</f>
        <v>5.3680846066262262</v>
      </c>
      <c r="AK62" s="256" t="s">
        <v>11</v>
      </c>
      <c r="AL62" s="261">
        <v>1</v>
      </c>
      <c r="AS62" s="261"/>
    </row>
    <row r="63" spans="3:45" ht="15.75" thickBot="1" x14ac:dyDescent="0.3">
      <c r="C63" s="399"/>
      <c r="D63" s="256">
        <f t="shared" si="22"/>
        <v>2600.0000000000005</v>
      </c>
      <c r="E63" s="256">
        <f t="shared" si="23"/>
        <v>1567</v>
      </c>
      <c r="F63" s="256">
        <f t="shared" si="24"/>
        <v>2600.0000000000005</v>
      </c>
      <c r="G63" s="256">
        <f t="shared" si="25"/>
        <v>1576</v>
      </c>
      <c r="H63" s="256" t="s">
        <v>11</v>
      </c>
      <c r="I63" s="261">
        <v>1</v>
      </c>
      <c r="M63" s="260" t="s">
        <v>211</v>
      </c>
      <c r="N63" s="256">
        <f>N62-R64*COS(R63)</f>
        <v>1376.3024653371797</v>
      </c>
      <c r="O63" s="256">
        <f>O62+R64*SIN(R63)</f>
        <v>1607.994868378388</v>
      </c>
      <c r="Q63" s="257" t="s">
        <v>218</v>
      </c>
      <c r="R63" s="259">
        <f>R60-R59</f>
        <v>0.23612409872871098</v>
      </c>
      <c r="T63" s="261"/>
      <c r="AF63" s="263">
        <v>812.25255778700671</v>
      </c>
      <c r="AG63" s="264">
        <v>2395.3837724342397</v>
      </c>
      <c r="AH63" s="264">
        <f>AH60</f>
        <v>7</v>
      </c>
      <c r="AI63" s="264">
        <f>RADIANS(90)+$AR$32</f>
        <v>0.6556956262415361</v>
      </c>
      <c r="AJ63" s="264">
        <f>RADIANS(180)+$AR$32</f>
        <v>2.2264919530364327</v>
      </c>
      <c r="AK63" s="264" t="s">
        <v>11</v>
      </c>
      <c r="AL63" s="265">
        <v>1</v>
      </c>
      <c r="AS63" s="261"/>
    </row>
    <row r="64" spans="3:45" ht="15.75" thickBot="1" x14ac:dyDescent="0.3">
      <c r="C64" s="399"/>
      <c r="D64" s="256">
        <f t="shared" si="22"/>
        <v>2440.0000000000005</v>
      </c>
      <c r="E64" s="256">
        <f t="shared" si="23"/>
        <v>1567</v>
      </c>
      <c r="F64" s="256">
        <f t="shared" si="24"/>
        <v>2440.0000000000005</v>
      </c>
      <c r="G64" s="256">
        <f t="shared" si="25"/>
        <v>1576</v>
      </c>
      <c r="H64" s="256" t="s">
        <v>11</v>
      </c>
      <c r="I64" s="261">
        <v>1</v>
      </c>
      <c r="M64" s="260"/>
      <c r="N64" s="283" t="s">
        <v>83</v>
      </c>
      <c r="O64" s="283" t="s">
        <v>84</v>
      </c>
      <c r="Q64" s="260" t="s">
        <v>219</v>
      </c>
      <c r="R64" s="261">
        <f>SQRT(POWER(Parametry!F33-Parametry!J33,2)+POWER(Parametry!Q35-Parametry!Q37,2))</f>
        <v>51.274136138438884</v>
      </c>
      <c r="T64" s="261"/>
      <c r="AF64" s="391" t="s">
        <v>203</v>
      </c>
      <c r="AG64" s="392"/>
      <c r="AH64" s="392"/>
      <c r="AI64" s="393"/>
      <c r="AS64" s="261"/>
    </row>
    <row r="65" spans="3:45" ht="15.75" thickBot="1" x14ac:dyDescent="0.3">
      <c r="C65" s="399"/>
      <c r="D65" s="256">
        <f t="shared" si="22"/>
        <v>2440.0000000000005</v>
      </c>
      <c r="E65" s="256">
        <f t="shared" si="23"/>
        <v>1576</v>
      </c>
      <c r="F65" s="256">
        <f t="shared" si="24"/>
        <v>2600.0000000000005</v>
      </c>
      <c r="G65" s="256">
        <f t="shared" si="25"/>
        <v>1576</v>
      </c>
      <c r="H65" s="256" t="s">
        <v>11</v>
      </c>
      <c r="I65" s="261">
        <v>1</v>
      </c>
      <c r="M65" s="260" t="s">
        <v>216</v>
      </c>
      <c r="N65" s="256">
        <f>N57</f>
        <v>1385.5292871667086</v>
      </c>
      <c r="O65" s="256">
        <f>O57</f>
        <v>1596</v>
      </c>
      <c r="Q65" s="263" t="s">
        <v>230</v>
      </c>
      <c r="R65" s="265">
        <f>R59-R60</f>
        <v>-0.23612409872871098</v>
      </c>
      <c r="T65" s="261"/>
      <c r="AF65" s="308" t="s">
        <v>205</v>
      </c>
      <c r="AG65" s="308" t="s">
        <v>208</v>
      </c>
      <c r="AH65" s="308" t="s">
        <v>206</v>
      </c>
      <c r="AI65" s="308" t="s">
        <v>207</v>
      </c>
      <c r="AS65" s="261"/>
    </row>
    <row r="66" spans="3:45" ht="15.75" thickBot="1" x14ac:dyDescent="0.3">
      <c r="C66" s="399"/>
      <c r="D66" s="257">
        <f t="shared" ref="D66:D68" si="28">W29+$W$14</f>
        <v>2520.0000000000005</v>
      </c>
      <c r="E66" s="258">
        <f t="shared" si="23"/>
        <v>1378.4</v>
      </c>
      <c r="F66" s="258">
        <f t="shared" si="24"/>
        <v>2520.0000000000005</v>
      </c>
      <c r="G66" s="258">
        <f t="shared" si="25"/>
        <v>1621.6</v>
      </c>
      <c r="H66" s="258" t="s">
        <v>8</v>
      </c>
      <c r="I66" s="259">
        <v>3</v>
      </c>
      <c r="M66" s="260" t="s">
        <v>213</v>
      </c>
      <c r="N66" s="256">
        <f>N65+R64*COS(R65)</f>
        <v>1435.3806679833751</v>
      </c>
      <c r="O66" s="256">
        <f>O65+R64*SIN(R65)</f>
        <v>1584.005131621612</v>
      </c>
      <c r="T66" s="261"/>
      <c r="AF66" s="284" t="s">
        <v>204</v>
      </c>
      <c r="AG66" s="284">
        <v>2</v>
      </c>
      <c r="AH66" s="309">
        <f>2*PI()+AR32</f>
        <v>5.3680846066262262</v>
      </c>
      <c r="AI66" s="284" t="s">
        <v>6</v>
      </c>
      <c r="AJ66" s="264"/>
      <c r="AK66" s="264"/>
      <c r="AL66" s="264"/>
      <c r="AM66" s="264"/>
      <c r="AN66" s="264"/>
      <c r="AO66" s="264"/>
      <c r="AP66" s="264"/>
      <c r="AQ66" s="264"/>
      <c r="AR66" s="264"/>
      <c r="AS66" s="265"/>
    </row>
    <row r="67" spans="3:45" x14ac:dyDescent="0.25">
      <c r="C67" s="399"/>
      <c r="D67" s="260">
        <f t="shared" si="28"/>
        <v>2376.0000000000005</v>
      </c>
      <c r="E67" s="256">
        <f t="shared" si="23"/>
        <v>1378.4</v>
      </c>
      <c r="F67" s="256">
        <f t="shared" si="24"/>
        <v>2376.0000000000005</v>
      </c>
      <c r="G67" s="256">
        <f t="shared" si="25"/>
        <v>1621.6</v>
      </c>
      <c r="H67" s="256" t="s">
        <v>92</v>
      </c>
      <c r="I67" s="261">
        <v>15</v>
      </c>
      <c r="M67" s="399" t="s">
        <v>221</v>
      </c>
      <c r="N67" s="364"/>
      <c r="O67" s="364"/>
      <c r="T67" s="261"/>
    </row>
    <row r="68" spans="3:45" ht="15.75" thickBot="1" x14ac:dyDescent="0.3">
      <c r="C68" s="400"/>
      <c r="D68" s="263">
        <f t="shared" si="28"/>
        <v>2664.0000000000005</v>
      </c>
      <c r="E68" s="264">
        <f t="shared" si="23"/>
        <v>1378.4</v>
      </c>
      <c r="F68" s="264">
        <f t="shared" si="24"/>
        <v>2664.0000000000005</v>
      </c>
      <c r="G68" s="264">
        <f t="shared" si="25"/>
        <v>1621.6</v>
      </c>
      <c r="H68" s="264" t="s">
        <v>92</v>
      </c>
      <c r="I68" s="265">
        <v>15</v>
      </c>
      <c r="M68" s="260"/>
      <c r="N68" s="283" t="s">
        <v>83</v>
      </c>
      <c r="O68" s="283" t="s">
        <v>84</v>
      </c>
      <c r="T68" s="261"/>
    </row>
    <row r="69" spans="3:45" x14ac:dyDescent="0.25">
      <c r="C69" s="391" t="s">
        <v>50</v>
      </c>
      <c r="D69" s="258">
        <f>Parametry!P14/2+Parametry!U16</f>
        <v>170</v>
      </c>
      <c r="E69" s="258">
        <f>E7-Parametry!F31/2</f>
        <v>1424</v>
      </c>
      <c r="F69" s="258">
        <f>D69</f>
        <v>170</v>
      </c>
      <c r="G69" s="258">
        <f>E69+Parametry!F31</f>
        <v>1576</v>
      </c>
      <c r="H69" s="258" t="s">
        <v>10</v>
      </c>
      <c r="I69" s="259">
        <v>1</v>
      </c>
      <c r="M69" s="260" t="str" cm="1">
        <f t="array" ref="M69:O69">IF(R59&gt;R60,M65:O65,M63:O63)</f>
        <v>p10</v>
      </c>
      <c r="N69" s="256">
        <v>1376.3024653371797</v>
      </c>
      <c r="O69" s="256">
        <v>1607.994868378388</v>
      </c>
      <c r="T69" s="261"/>
      <c r="AF69" s="391" t="s">
        <v>247</v>
      </c>
      <c r="AG69" s="392"/>
      <c r="AH69" s="392"/>
      <c r="AI69" s="392"/>
      <c r="AJ69" s="392"/>
      <c r="AK69" s="392"/>
      <c r="AL69" s="392"/>
      <c r="AM69" s="392"/>
      <c r="AN69" s="392"/>
      <c r="AO69" s="392"/>
      <c r="AP69" s="392"/>
      <c r="AQ69" s="392"/>
      <c r="AR69" s="392"/>
      <c r="AS69" s="393"/>
    </row>
    <row r="70" spans="3:45" x14ac:dyDescent="0.25">
      <c r="C70" s="399"/>
      <c r="D70" s="256">
        <f>D69</f>
        <v>170</v>
      </c>
      <c r="E70" s="256">
        <f>E69</f>
        <v>1424</v>
      </c>
      <c r="F70" s="256">
        <f>D67</f>
        <v>2376.0000000000005</v>
      </c>
      <c r="G70" s="256">
        <f>E70</f>
        <v>1424</v>
      </c>
      <c r="H70" s="256" t="s">
        <v>10</v>
      </c>
      <c r="I70" s="261">
        <v>1</v>
      </c>
      <c r="M70" s="260" t="str" cm="1">
        <f t="array" ref="M70:O70">IF(R59&gt;R60,M66:O66,M62:O62)</f>
        <v>p11 = 20</v>
      </c>
      <c r="N70" s="256">
        <v>1426.1538461538462</v>
      </c>
      <c r="O70" s="256">
        <v>1596</v>
      </c>
      <c r="T70" s="261"/>
      <c r="AF70" s="305"/>
      <c r="AG70" s="283"/>
      <c r="AH70" s="283"/>
      <c r="AI70" s="283"/>
      <c r="AJ70" s="283"/>
      <c r="AK70" s="414" t="s">
        <v>86</v>
      </c>
      <c r="AL70" s="414"/>
      <c r="AM70" s="283">
        <f>X54</f>
        <v>2243.4217095150952</v>
      </c>
      <c r="AN70" s="283">
        <f>Y54</f>
        <v>2570.5272617017367</v>
      </c>
      <c r="AO70" s="283"/>
      <c r="AP70" s="414" t="s">
        <v>89</v>
      </c>
      <c r="AQ70" s="414"/>
      <c r="AR70" s="283">
        <f>S81</f>
        <v>0.96380866274848864</v>
      </c>
      <c r="AS70" s="306"/>
    </row>
    <row r="71" spans="3:45" x14ac:dyDescent="0.25">
      <c r="C71" s="399"/>
      <c r="D71" s="256">
        <f>D70</f>
        <v>170</v>
      </c>
      <c r="E71" s="256">
        <f>E70+Parametry!I31</f>
        <v>1433</v>
      </c>
      <c r="F71" s="256">
        <f>F70</f>
        <v>2376.0000000000005</v>
      </c>
      <c r="G71" s="256">
        <f t="shared" ref="G71:G77" si="29">E71</f>
        <v>1433</v>
      </c>
      <c r="H71" s="256" t="s">
        <v>10</v>
      </c>
      <c r="I71" s="261">
        <v>1</v>
      </c>
      <c r="M71" s="260"/>
      <c r="N71" s="283" t="s">
        <v>170</v>
      </c>
      <c r="O71" s="283" t="s">
        <v>67</v>
      </c>
      <c r="T71" s="261"/>
      <c r="AF71" s="413" t="s">
        <v>200</v>
      </c>
      <c r="AG71" s="414"/>
      <c r="AH71" s="414"/>
      <c r="AI71" s="414"/>
      <c r="AJ71" s="283"/>
      <c r="AK71" s="414" t="s">
        <v>87</v>
      </c>
      <c r="AL71" s="414"/>
      <c r="AM71" s="414"/>
      <c r="AN71" s="414"/>
      <c r="AO71" s="283"/>
      <c r="AP71" s="414" t="s">
        <v>88</v>
      </c>
      <c r="AQ71" s="414"/>
      <c r="AR71" s="414"/>
      <c r="AS71" s="416"/>
    </row>
    <row r="72" spans="3:45" ht="30" x14ac:dyDescent="0.25">
      <c r="C72" s="399"/>
      <c r="D72" s="256">
        <f>D71</f>
        <v>170</v>
      </c>
      <c r="E72" s="256">
        <f>G69</f>
        <v>1576</v>
      </c>
      <c r="F72" s="256">
        <f>F71</f>
        <v>2376.0000000000005</v>
      </c>
      <c r="G72" s="256">
        <f t="shared" si="29"/>
        <v>1576</v>
      </c>
      <c r="H72" s="256" t="s">
        <v>10</v>
      </c>
      <c r="I72" s="261">
        <v>1</v>
      </c>
      <c r="M72" s="300" t="s">
        <v>220</v>
      </c>
      <c r="N72" s="256">
        <f>N49</f>
        <v>0.76923076923076916</v>
      </c>
      <c r="O72" s="256">
        <f>O70-N70*N72</f>
        <v>498.95857988165699</v>
      </c>
      <c r="T72" s="261"/>
      <c r="AF72" s="260">
        <f>-Parametry!O35/2</f>
        <v>-3</v>
      </c>
      <c r="AG72" s="256">
        <f>-(Parametry!F34-Parametry!J34)</f>
        <v>-54.1</v>
      </c>
      <c r="AH72" s="256">
        <f>AF72</f>
        <v>-3</v>
      </c>
      <c r="AI72" s="256">
        <f>Parametry!J34</f>
        <v>20.9</v>
      </c>
      <c r="AK72" s="256" cm="1">
        <f t="array" ref="AK72:AK86">AM70+AF72:AF86</f>
        <v>2240.4217095150952</v>
      </c>
      <c r="AL72" s="256" cm="1">
        <f t="array" ref="AL72:AL86">AN70+AG72:AG86</f>
        <v>2516.4272617017368</v>
      </c>
      <c r="AM72" s="256" cm="1">
        <f t="array" ref="AM72:AM86">AM70+AH72:AH86</f>
        <v>2240.4217095150952</v>
      </c>
      <c r="AN72" s="256" cm="1">
        <f t="array" ref="AN72:AN86">AN70+AI72:AI86</f>
        <v>2591.4272617017368</v>
      </c>
      <c r="AP72" s="256">
        <f>$AM$70+AF72*COS($AR$70)-AG72*SIN($AR$70)</f>
        <v>2286.1466372295345</v>
      </c>
      <c r="AQ72" s="256">
        <f>$AN$70+AF72*SIN($AR$70)+AG72*COS($AR$70)</f>
        <v>2537.2047385110186</v>
      </c>
      <c r="AR72" s="256">
        <f>$AM$70+AH72*COS($AR$70)-AI72*SIN($AR$70)</f>
        <v>2224.5438898040375</v>
      </c>
      <c r="AS72" s="261">
        <f>$AN$70+AH72*SIN($AR$70)+AI72*COS($AR$70)</f>
        <v>2579.9844242231693</v>
      </c>
    </row>
    <row r="73" spans="3:45" x14ac:dyDescent="0.25">
      <c r="C73" s="399"/>
      <c r="D73" s="256">
        <f>D72</f>
        <v>170</v>
      </c>
      <c r="E73" s="256">
        <f>E72-Parametry!I31</f>
        <v>1567</v>
      </c>
      <c r="F73" s="256">
        <f>F72</f>
        <v>2376.0000000000005</v>
      </c>
      <c r="G73" s="256">
        <f t="shared" si="29"/>
        <v>1567</v>
      </c>
      <c r="H73" s="256" t="s">
        <v>10</v>
      </c>
      <c r="I73" s="261">
        <v>1</v>
      </c>
      <c r="M73" s="260"/>
      <c r="N73" s="283" t="s">
        <v>83</v>
      </c>
      <c r="O73" s="283" t="s">
        <v>84</v>
      </c>
      <c r="T73" s="261"/>
      <c r="AF73" s="260">
        <f>AH72</f>
        <v>-3</v>
      </c>
      <c r="AG73" s="256">
        <f>AI72</f>
        <v>20.9</v>
      </c>
      <c r="AH73" s="256">
        <f>AF73-Parametry!F34</f>
        <v>-78</v>
      </c>
      <c r="AI73" s="256">
        <f>AG73</f>
        <v>20.9</v>
      </c>
      <c r="AK73" s="256">
        <v>2240.4217095150952</v>
      </c>
      <c r="AL73" s="256">
        <v>2591.4272617017368</v>
      </c>
      <c r="AM73" s="256">
        <v>2165.4217095150952</v>
      </c>
      <c r="AN73" s="256">
        <v>2591.4272617017368</v>
      </c>
      <c r="AP73" s="256">
        <f t="shared" ref="AP73:AP86" si="30">$AM$70+AF73*COS($AR$70)-AG73*SIN($AR$70)</f>
        <v>2224.5438898040375</v>
      </c>
      <c r="AQ73" s="256">
        <f t="shared" ref="AQ73:AQ86" si="31">$AN$70+AF73*SIN($AR$70)+AG73*COS($AR$70)</f>
        <v>2579.9844242231693</v>
      </c>
      <c r="AR73" s="256">
        <f t="shared" ref="AR73:AR86" si="32">$AM$70+AH73*COS($AR$70)-AI73*SIN($AR$70)</f>
        <v>2181.7642040918868</v>
      </c>
      <c r="AS73" s="261">
        <f t="shared" ref="AS73:AS86" si="33">$AN$70+AH73*SIN($AR$70)+AI73*COS($AR$70)</f>
        <v>2518.3816767976723</v>
      </c>
    </row>
    <row r="74" spans="3:45" x14ac:dyDescent="0.25">
      <c r="C74" s="399"/>
      <c r="D74" s="256">
        <f>D68</f>
        <v>2664.0000000000005</v>
      </c>
      <c r="E74" s="256">
        <f>E70</f>
        <v>1424</v>
      </c>
      <c r="F74" s="256">
        <f>F7</f>
        <v>3360.0000000000005</v>
      </c>
      <c r="G74" s="256">
        <f t="shared" si="29"/>
        <v>1424</v>
      </c>
      <c r="H74" s="256" t="s">
        <v>10</v>
      </c>
      <c r="I74" s="261">
        <v>1</v>
      </c>
      <c r="M74" s="260" t="s">
        <v>222</v>
      </c>
      <c r="N74" s="256">
        <f>(O38-O72)/(N72-N38)</f>
        <v>1432.3363132688621</v>
      </c>
      <c r="O74" s="256">
        <f>N74*N72+O72</f>
        <v>1600.7557439346278</v>
      </c>
      <c r="T74" s="261"/>
      <c r="AF74" s="260" cm="1">
        <f t="array" ref="AF74:AG74">AH73:AI73</f>
        <v>-78</v>
      </c>
      <c r="AG74" s="256">
        <v>20.9</v>
      </c>
      <c r="AH74" s="256">
        <f>AF74</f>
        <v>-78</v>
      </c>
      <c r="AI74" s="256">
        <f>AG74-(Parametry!G34-Parametry!I34)</f>
        <v>18.899999999999999</v>
      </c>
      <c r="AK74" s="256">
        <v>2165.4217095150952</v>
      </c>
      <c r="AL74" s="256">
        <v>2591.4272617017368</v>
      </c>
      <c r="AM74" s="256">
        <v>2165.4217095150952</v>
      </c>
      <c r="AN74" s="256">
        <v>2589.4272617017368</v>
      </c>
      <c r="AP74" s="256">
        <f t="shared" si="30"/>
        <v>2181.7642040918868</v>
      </c>
      <c r="AQ74" s="256">
        <f t="shared" si="31"/>
        <v>2518.3816767976723</v>
      </c>
      <c r="AR74" s="256">
        <f t="shared" si="32"/>
        <v>2183.4069440232333</v>
      </c>
      <c r="AS74" s="261">
        <f t="shared" si="33"/>
        <v>2517.2408851786818</v>
      </c>
    </row>
    <row r="75" spans="3:45" x14ac:dyDescent="0.25">
      <c r="C75" s="399"/>
      <c r="D75" s="256">
        <f>D74</f>
        <v>2664.0000000000005</v>
      </c>
      <c r="E75" s="256">
        <f>E71</f>
        <v>1433</v>
      </c>
      <c r="F75" s="256">
        <f>F74</f>
        <v>3360.0000000000005</v>
      </c>
      <c r="G75" s="256">
        <f t="shared" si="29"/>
        <v>1433</v>
      </c>
      <c r="H75" s="256" t="s">
        <v>10</v>
      </c>
      <c r="I75" s="261">
        <v>1</v>
      </c>
      <c r="M75" s="260" t="s">
        <v>223</v>
      </c>
      <c r="N75" s="256">
        <f>(O29-O72)/(N72-N29)</f>
        <v>1436.2994332143851</v>
      </c>
      <c r="O75" s="256">
        <f>N75*N72+O72</f>
        <v>1603.8042977388761</v>
      </c>
      <c r="T75" s="261"/>
      <c r="AF75" s="260">
        <f>AH74+Parametry!I34</f>
        <v>-73</v>
      </c>
      <c r="AG75" s="256">
        <f>AI74-Parametry!I34</f>
        <v>13.899999999999999</v>
      </c>
      <c r="AH75" s="256">
        <f>AF75+(Parametry!F34-Parametry!H34-Parametry!I34-Parametry!G34)</f>
        <v>-20</v>
      </c>
      <c r="AI75" s="256">
        <f>AG75</f>
        <v>13.899999999999999</v>
      </c>
      <c r="AK75" s="256">
        <v>2170.4217095150952</v>
      </c>
      <c r="AL75" s="256">
        <v>2584.4272617017368</v>
      </c>
      <c r="AM75" s="256">
        <v>2223.4217095150952</v>
      </c>
      <c r="AN75" s="256">
        <v>2584.4272617017368</v>
      </c>
      <c r="AP75" s="256">
        <f t="shared" si="30"/>
        <v>2190.3657728990761</v>
      </c>
      <c r="AQ75" s="256">
        <f t="shared" si="31"/>
        <v>2518.4957559595714</v>
      </c>
      <c r="AR75" s="256">
        <f t="shared" si="32"/>
        <v>2220.5967508023296</v>
      </c>
      <c r="AS75" s="261">
        <f t="shared" si="33"/>
        <v>2562.0283641402557</v>
      </c>
    </row>
    <row r="76" spans="3:45" x14ac:dyDescent="0.25">
      <c r="C76" s="399"/>
      <c r="D76" s="256">
        <f>D75</f>
        <v>2664.0000000000005</v>
      </c>
      <c r="E76" s="256">
        <f>E72</f>
        <v>1576</v>
      </c>
      <c r="F76" s="256">
        <f>F75</f>
        <v>3360.0000000000005</v>
      </c>
      <c r="G76" s="256">
        <f t="shared" si="29"/>
        <v>1576</v>
      </c>
      <c r="H76" s="256" t="s">
        <v>10</v>
      </c>
      <c r="I76" s="261">
        <v>1</v>
      </c>
      <c r="M76" s="260" t="s">
        <v>225</v>
      </c>
      <c r="N76" s="256">
        <f>(O34-O29)/(N29-N34)</f>
        <v>850.11559603577257</v>
      </c>
      <c r="O76" s="256">
        <f>N76*N29+O29</f>
        <v>2365.8432860710718</v>
      </c>
      <c r="T76" s="261"/>
      <c r="AF76" s="260">
        <f>AH75+Parametry!H34</f>
        <v>-10</v>
      </c>
      <c r="AG76" s="256">
        <f>AI75-Parametry!H34</f>
        <v>3.8999999999999986</v>
      </c>
      <c r="AH76" s="256">
        <f>AF76</f>
        <v>-10</v>
      </c>
      <c r="AI76" s="256">
        <f>AG76-(Parametry!F34-Parametry!H34-Parametry!I34-Parametry!G34)</f>
        <v>-49.1</v>
      </c>
      <c r="AK76" s="256">
        <v>2233.4217095150952</v>
      </c>
      <c r="AL76" s="256">
        <v>2574.4272617017368</v>
      </c>
      <c r="AM76" s="256">
        <v>2233.4217095150952</v>
      </c>
      <c r="AN76" s="256">
        <v>2521.4272617017368</v>
      </c>
      <c r="AP76" s="256">
        <f t="shared" si="30"/>
        <v>2234.514408554016</v>
      </c>
      <c r="AQ76" s="256">
        <f t="shared" si="31"/>
        <v>2564.5381057020359</v>
      </c>
      <c r="AR76" s="256">
        <f t="shared" si="32"/>
        <v>2278.0470167347003</v>
      </c>
      <c r="AS76" s="261">
        <f t="shared" si="33"/>
        <v>2534.3071277987824</v>
      </c>
    </row>
    <row r="77" spans="3:45" ht="15.75" thickBot="1" x14ac:dyDescent="0.3">
      <c r="C77" s="400"/>
      <c r="D77" s="264">
        <f>D76</f>
        <v>2664.0000000000005</v>
      </c>
      <c r="E77" s="264">
        <f>E73</f>
        <v>1567</v>
      </c>
      <c r="F77" s="264">
        <f>F76</f>
        <v>3360.0000000000005</v>
      </c>
      <c r="G77" s="264">
        <f t="shared" si="29"/>
        <v>1567</v>
      </c>
      <c r="H77" s="264" t="s">
        <v>10</v>
      </c>
      <c r="I77" s="265">
        <v>1</v>
      </c>
      <c r="M77" s="260" t="s">
        <v>226</v>
      </c>
      <c r="N77" s="256">
        <f>(O34-O38)/(N38-N34)</f>
        <v>846.15247609024959</v>
      </c>
      <c r="O77" s="256">
        <f>N77*N38+O38</f>
        <v>2362.7947322668233</v>
      </c>
      <c r="T77" s="261"/>
      <c r="AF77" s="260">
        <f>AF76+Parametry!I34</f>
        <v>-5</v>
      </c>
      <c r="AG77" s="256">
        <f>AI76-Parametry!I34</f>
        <v>-54.1</v>
      </c>
      <c r="AH77" s="256">
        <f>AF72</f>
        <v>-3</v>
      </c>
      <c r="AI77" s="256">
        <f>AG77</f>
        <v>-54.1</v>
      </c>
      <c r="AK77" s="256">
        <v>2238.4217095150952</v>
      </c>
      <c r="AL77" s="256">
        <v>2516.4272617017368</v>
      </c>
      <c r="AM77" s="256">
        <v>2240.4217095150952</v>
      </c>
      <c r="AN77" s="256">
        <v>2516.4272617017368</v>
      </c>
      <c r="AP77" s="256">
        <f t="shared" si="30"/>
        <v>2285.0058456105439</v>
      </c>
      <c r="AQ77" s="256">
        <f t="shared" si="31"/>
        <v>2535.561998579672</v>
      </c>
      <c r="AR77" s="256">
        <f t="shared" si="32"/>
        <v>2286.1466372295345</v>
      </c>
      <c r="AS77" s="261">
        <f t="shared" si="33"/>
        <v>2537.2047385110186</v>
      </c>
    </row>
    <row r="78" spans="3:45" ht="15.75" thickBot="1" x14ac:dyDescent="0.3">
      <c r="C78" s="391" t="s">
        <v>128</v>
      </c>
      <c r="D78" s="258">
        <f>D9-Parametry!Q9/2</f>
        <v>-160</v>
      </c>
      <c r="E78" s="335">
        <f>E9-Parametry!Q9/2*Parametry!E23/100-Parametry!F30/(2*COS('Obliczenia i dane'!$AR$7))</f>
        <v>3362.614027537873</v>
      </c>
      <c r="F78" s="258">
        <f>D78-Parametry!F30*SIN('Obliczenia i dane'!$AR$7)</f>
        <v>-170.61402741038691</v>
      </c>
      <c r="G78" s="258">
        <f>E78+COS($AR$7)*Parametry!F30</f>
        <v>3514.2429905434001</v>
      </c>
      <c r="H78" s="258" t="s">
        <v>10</v>
      </c>
      <c r="I78" s="259">
        <v>1</v>
      </c>
      <c r="M78" s="263" t="s">
        <v>227</v>
      </c>
      <c r="N78" s="264">
        <f>(O43-O34)/(N34-N43)</f>
        <v>814.44751652606567</v>
      </c>
      <c r="O78" s="264">
        <f>N78*N34+O34</f>
        <v>2338.4063018328361</v>
      </c>
      <c r="P78" s="264"/>
      <c r="Q78" s="264"/>
      <c r="R78" s="264"/>
      <c r="S78" s="264"/>
      <c r="T78" s="265"/>
      <c r="AF78" s="260" cm="1">
        <f t="array" ref="AF78:AF83">-AF72:AF77</f>
        <v>3</v>
      </c>
      <c r="AG78" s="256" cm="1">
        <f t="array" ref="AG78:AG83">AG72:AG77</f>
        <v>-54.1</v>
      </c>
      <c r="AH78" s="256" cm="1">
        <f t="array" ref="AH78:AH83">-AH72:AH77</f>
        <v>3</v>
      </c>
      <c r="AI78" s="256" cm="1">
        <f t="array" ref="AI78:AI83">AI72:AI77</f>
        <v>20.9</v>
      </c>
      <c r="AK78" s="256">
        <v>2246.4217095150952</v>
      </c>
      <c r="AL78" s="256">
        <v>2516.4272617017368</v>
      </c>
      <c r="AM78" s="256">
        <v>2246.4217095150952</v>
      </c>
      <c r="AN78" s="256">
        <v>2591.4272617017368</v>
      </c>
      <c r="AP78" s="256">
        <f t="shared" si="30"/>
        <v>2289.5690120865065</v>
      </c>
      <c r="AQ78" s="256">
        <f t="shared" si="31"/>
        <v>2542.1329583050588</v>
      </c>
      <c r="AR78" s="256">
        <f t="shared" si="32"/>
        <v>2227.9662646610095</v>
      </c>
      <c r="AS78" s="261">
        <f t="shared" si="33"/>
        <v>2584.9126440172095</v>
      </c>
    </row>
    <row r="79" spans="3:45" ht="15.75" thickBot="1" x14ac:dyDescent="0.3">
      <c r="C79" s="399"/>
      <c r="D79" s="256">
        <f>D78</f>
        <v>-160</v>
      </c>
      <c r="E79" s="262">
        <f>E78</f>
        <v>3362.614027537873</v>
      </c>
      <c r="F79" s="256">
        <f>F25-Parametry!Q30*Parametry!F30*SIN('Obliczenia i dane'!$AR$7)</f>
        <v>1361.6585224367991</v>
      </c>
      <c r="G79" s="256">
        <f>G25+Parametry!Q30*Parametry!F30*COS('Obliczenia i dane'!$AR$7)</f>
        <v>3469.1301241084484</v>
      </c>
      <c r="H79" s="256" t="s">
        <v>10</v>
      </c>
      <c r="I79" s="261">
        <v>1</v>
      </c>
      <c r="AF79" s="260">
        <v>3</v>
      </c>
      <c r="AG79" s="256">
        <v>20.9</v>
      </c>
      <c r="AH79" s="256">
        <v>78</v>
      </c>
      <c r="AI79" s="256">
        <v>20.9</v>
      </c>
      <c r="AK79" s="256">
        <v>2246.4217095150952</v>
      </c>
      <c r="AL79" s="256">
        <v>2591.4272617017368</v>
      </c>
      <c r="AM79" s="256">
        <v>2321.4217095150952</v>
      </c>
      <c r="AN79" s="256">
        <v>2591.4272617017368</v>
      </c>
      <c r="AP79" s="256">
        <f t="shared" si="30"/>
        <v>2227.9662646610095</v>
      </c>
      <c r="AQ79" s="256">
        <f t="shared" si="31"/>
        <v>2584.9126440172095</v>
      </c>
      <c r="AR79" s="256">
        <f t="shared" si="32"/>
        <v>2270.7459503731602</v>
      </c>
      <c r="AS79" s="261">
        <f t="shared" si="33"/>
        <v>2646.5153914427065</v>
      </c>
    </row>
    <row r="80" spans="3:45" ht="15.75" thickBot="1" x14ac:dyDescent="0.3">
      <c r="C80" s="399"/>
      <c r="D80" s="256">
        <f>F78</f>
        <v>-170.61402741038691</v>
      </c>
      <c r="E80" s="256">
        <f>G78</f>
        <v>3514.2429905434001</v>
      </c>
      <c r="F80" s="256">
        <f>D25+Parametry!Q30*Parametry!F30*SIN('Obliczenia i dane'!$AR$7)</f>
        <v>1351.0444950264123</v>
      </c>
      <c r="G80" s="256">
        <f>E25-Parametry!Q30*Parametry!F30*COS('Obliczenia i dane'!$AR$7)</f>
        <v>3620.7590871139764</v>
      </c>
      <c r="H80" s="256" t="s">
        <v>10</v>
      </c>
      <c r="I80" s="261">
        <v>1</v>
      </c>
      <c r="M80" s="391" t="s">
        <v>231</v>
      </c>
      <c r="N80" s="392"/>
      <c r="O80" s="392"/>
      <c r="P80" s="392"/>
      <c r="Q80" s="392"/>
      <c r="R80" s="392"/>
      <c r="S80" s="392"/>
      <c r="T80" s="393"/>
      <c r="AF80" s="260">
        <v>78</v>
      </c>
      <c r="AG80" s="256">
        <v>20.9</v>
      </c>
      <c r="AH80" s="256">
        <v>78</v>
      </c>
      <c r="AI80" s="256">
        <v>18.899999999999999</v>
      </c>
      <c r="AK80" s="256">
        <v>2321.4217095150952</v>
      </c>
      <c r="AL80" s="256">
        <v>2591.4272617017368</v>
      </c>
      <c r="AM80" s="256">
        <v>2321.4217095150952</v>
      </c>
      <c r="AN80" s="256">
        <v>2589.4272617017368</v>
      </c>
      <c r="AP80" s="256">
        <f t="shared" si="30"/>
        <v>2270.7459503731602</v>
      </c>
      <c r="AQ80" s="256">
        <f t="shared" si="31"/>
        <v>2646.5153914427065</v>
      </c>
      <c r="AR80" s="256">
        <f t="shared" si="32"/>
        <v>2272.3886903045068</v>
      </c>
      <c r="AS80" s="261">
        <f t="shared" si="33"/>
        <v>2645.3745998237159</v>
      </c>
    </row>
    <row r="81" spans="3:45" ht="15.75" thickBot="1" x14ac:dyDescent="0.3">
      <c r="C81" s="399"/>
      <c r="D81" s="256">
        <f>D24+Parametry!Q30*Parametry!F30*SIN('Obliczenia i dane'!$AR$7)</f>
        <v>1638.3414775632009</v>
      </c>
      <c r="E81" s="256">
        <f>E24-Parametry!Q30*Parametry!F30*COS('Obliczenia i dane'!$AR$7)</f>
        <v>3640.8698758915516</v>
      </c>
      <c r="F81" s="256">
        <f>F7</f>
        <v>3360.0000000000005</v>
      </c>
      <c r="G81" s="256">
        <f>G9+Parametry!F30/(2*COS('Obliczenia i dane'!AR7))</f>
        <v>3761.385972462127</v>
      </c>
      <c r="H81" s="256" t="s">
        <v>10</v>
      </c>
      <c r="I81" s="261">
        <v>1</v>
      </c>
      <c r="M81" s="260"/>
      <c r="N81" s="283" t="s">
        <v>170</v>
      </c>
      <c r="O81" s="283" t="s">
        <v>67</v>
      </c>
      <c r="R81" s="277" t="s">
        <v>232</v>
      </c>
      <c r="S81" s="296">
        <f>ATAN((G10-E10)/(F10-D10))</f>
        <v>0.96380866274848864</v>
      </c>
      <c r="T81" s="261"/>
      <c r="AF81" s="260">
        <v>73</v>
      </c>
      <c r="AG81" s="256">
        <v>13.899999999999999</v>
      </c>
      <c r="AH81" s="256">
        <v>20</v>
      </c>
      <c r="AI81" s="256">
        <v>13.899999999999999</v>
      </c>
      <c r="AK81" s="256">
        <v>2316.4217095150952</v>
      </c>
      <c r="AL81" s="256">
        <v>2584.4272617017368</v>
      </c>
      <c r="AM81" s="256">
        <v>2263.4217095150952</v>
      </c>
      <c r="AN81" s="256">
        <v>2584.4272617017368</v>
      </c>
      <c r="AP81" s="256">
        <f t="shared" si="30"/>
        <v>2273.6435610853964</v>
      </c>
      <c r="AQ81" s="256">
        <f t="shared" si="31"/>
        <v>2638.4157709478723</v>
      </c>
      <c r="AR81" s="256">
        <f t="shared" si="32"/>
        <v>2243.412583182143</v>
      </c>
      <c r="AS81" s="261">
        <f t="shared" si="33"/>
        <v>2594.883162767188</v>
      </c>
    </row>
    <row r="82" spans="3:45" x14ac:dyDescent="0.25">
      <c r="C82" s="399"/>
      <c r="D82" s="256">
        <f>F24-Parametry!Q30*Parametry!F30*SIN('Obliczenia i dane'!$AR$7)</f>
        <v>1648.9555049735877</v>
      </c>
      <c r="E82" s="256">
        <f>G24+Parametry!Q30*Parametry!F30*COS('Obliczenia i dane'!$AR$7)</f>
        <v>3489.2409128860236</v>
      </c>
      <c r="F82" s="256">
        <f>F81</f>
        <v>3360.0000000000005</v>
      </c>
      <c r="G82" s="256">
        <f>G9-Parametry!F30/(2*COS('Obliczenia i dane'!AR7))</f>
        <v>3609.0140275378726</v>
      </c>
      <c r="H82" s="256" t="s">
        <v>10</v>
      </c>
      <c r="I82" s="261">
        <v>1</v>
      </c>
      <c r="M82" s="300" t="str" cm="1">
        <f t="array" ref="M82:O82">M55:O55</f>
        <v>prosta gora pasa dolnego</v>
      </c>
      <c r="N82" s="256">
        <v>0</v>
      </c>
      <c r="O82" s="256">
        <v>1576</v>
      </c>
      <c r="T82" s="261"/>
      <c r="AF82" s="260">
        <v>10</v>
      </c>
      <c r="AG82" s="256">
        <v>3.8999999999999986</v>
      </c>
      <c r="AH82" s="256">
        <v>10</v>
      </c>
      <c r="AI82" s="256">
        <v>-49.1</v>
      </c>
      <c r="AK82" s="256">
        <v>2253.4217095150952</v>
      </c>
      <c r="AL82" s="256">
        <v>2574.4272617017368</v>
      </c>
      <c r="AM82" s="256">
        <v>2253.4217095150952</v>
      </c>
      <c r="AN82" s="256">
        <v>2521.4272617017368</v>
      </c>
      <c r="AP82" s="256">
        <f t="shared" si="30"/>
        <v>2245.9223247439231</v>
      </c>
      <c r="AQ82" s="256">
        <f t="shared" si="31"/>
        <v>2580.9655050155015</v>
      </c>
      <c r="AR82" s="256">
        <f t="shared" si="32"/>
        <v>2289.4549329246074</v>
      </c>
      <c r="AS82" s="261">
        <f t="shared" si="33"/>
        <v>2550.7345271122481</v>
      </c>
    </row>
    <row r="83" spans="3:45" x14ac:dyDescent="0.25">
      <c r="C83" s="399"/>
      <c r="D83" s="256">
        <f>D79-Parametry!I30*SIN('Obliczenia i dane'!AR7)</f>
        <v>-160.62846214929922</v>
      </c>
      <c r="E83" s="256">
        <f>E79+Parametry!I30*COS('Obliczenia i dane'!AR7)</f>
        <v>3371.5920582421477</v>
      </c>
      <c r="F83" s="256">
        <f>F79-Parametry!I30*SIN('Obliczenia i dane'!AR7)</f>
        <v>1361.0300602875</v>
      </c>
      <c r="G83" s="256">
        <f>G79+Parametry!I30*COS('Obliczenia i dane'!AR7)</f>
        <v>3478.1081548127231</v>
      </c>
      <c r="H83" s="256" t="s">
        <v>10</v>
      </c>
      <c r="I83" s="261">
        <v>1</v>
      </c>
      <c r="M83" s="300" t="s">
        <v>252</v>
      </c>
      <c r="N83" s="256">
        <f>(E10-G10)/(D10-F10)</f>
        <v>1.44</v>
      </c>
      <c r="O83" s="256">
        <f>G10-F10*N83</f>
        <v>-660</v>
      </c>
      <c r="T83" s="261"/>
      <c r="AF83" s="260">
        <v>5</v>
      </c>
      <c r="AG83" s="256">
        <v>-54.1</v>
      </c>
      <c r="AH83" s="256">
        <v>3</v>
      </c>
      <c r="AI83" s="256">
        <v>-54.1</v>
      </c>
      <c r="AK83" s="256">
        <v>2248.4217095150952</v>
      </c>
      <c r="AL83" s="256">
        <v>2516.4272617017368</v>
      </c>
      <c r="AM83" s="256">
        <v>2246.4217095150952</v>
      </c>
      <c r="AN83" s="256">
        <v>2516.4272617017368</v>
      </c>
      <c r="AP83" s="256">
        <f t="shared" si="30"/>
        <v>2290.7098037054971</v>
      </c>
      <c r="AQ83" s="256">
        <f t="shared" si="31"/>
        <v>2543.7756982364053</v>
      </c>
      <c r="AR83" s="256">
        <f t="shared" si="32"/>
        <v>2289.5690120865065</v>
      </c>
      <c r="AS83" s="261">
        <f t="shared" si="33"/>
        <v>2542.1329583050588</v>
      </c>
    </row>
    <row r="84" spans="3:45" ht="30" x14ac:dyDescent="0.25">
      <c r="C84" s="399"/>
      <c r="D84" s="256">
        <f>D80+Parametry!I30*SIN('Obliczenia i dane'!AR7)</f>
        <v>-169.98556526108769</v>
      </c>
      <c r="E84" s="256">
        <f>E80-Parametry!I30*COS('Obliczenia i dane'!AR7)</f>
        <v>3505.2649598391254</v>
      </c>
      <c r="F84" s="256">
        <f>F80+Parametry!I30*SIN('Obliczenia i dane'!AR7)</f>
        <v>1351.6729571757114</v>
      </c>
      <c r="G84" s="256">
        <f>G80-Parametry!I30*COS('Obliczenia i dane'!AR7)</f>
        <v>3611.7810564097017</v>
      </c>
      <c r="H84" s="256" t="s">
        <v>10</v>
      </c>
      <c r="I84" s="261">
        <v>1</v>
      </c>
      <c r="M84" s="300" t="s">
        <v>233</v>
      </c>
      <c r="N84" s="256">
        <f>N83</f>
        <v>1.44</v>
      </c>
      <c r="O84" s="256">
        <f>O83-(Parametry!F34-Parametry!J34)/COS('Obliczenia i dane'!S81)</f>
        <v>-754.84641909951051</v>
      </c>
      <c r="T84" s="261"/>
      <c r="AF84" s="260">
        <v>0</v>
      </c>
      <c r="AG84" s="256">
        <f>-(Parametry!F34-Parametry!J34)-Parametry!R33*Parametry!F34</f>
        <v>-91.6</v>
      </c>
      <c r="AH84" s="256">
        <f>AF84</f>
        <v>0</v>
      </c>
      <c r="AI84" s="256">
        <f>Parametry!J34+Parametry!R33*Parametry!F34</f>
        <v>58.4</v>
      </c>
      <c r="AK84" s="256">
        <v>2243.4217095150952</v>
      </c>
      <c r="AL84" s="256">
        <v>2478.9272617017368</v>
      </c>
      <c r="AM84" s="256">
        <v>2243.4217095150952</v>
      </c>
      <c r="AN84" s="256">
        <v>2628.9272617017368</v>
      </c>
      <c r="AP84" s="256">
        <f t="shared" si="30"/>
        <v>2318.659198370769</v>
      </c>
      <c r="AQ84" s="256">
        <f t="shared" si="31"/>
        <v>2518.2790055519631</v>
      </c>
      <c r="AR84" s="256">
        <f t="shared" si="32"/>
        <v>2195.453703519775</v>
      </c>
      <c r="AS84" s="261">
        <f t="shared" si="33"/>
        <v>2603.838376976265</v>
      </c>
    </row>
    <row r="85" spans="3:45" ht="30" x14ac:dyDescent="0.25">
      <c r="C85" s="399"/>
      <c r="D85" s="256">
        <f>D81+Parametry!I30*SIN('Obliczenia i dane'!AR7)</f>
        <v>1638.9699397125</v>
      </c>
      <c r="E85" s="256">
        <f>E81-Parametry!I30*COS('Obliczenia i dane'!AR7)</f>
        <v>3631.8918451872769</v>
      </c>
      <c r="F85" s="256">
        <f>F81</f>
        <v>3360.0000000000005</v>
      </c>
      <c r="G85" s="256">
        <f>G81-Parametry!I30/COS('Obliczenia i dane'!AR7)</f>
        <v>3752.3639494074014</v>
      </c>
      <c r="H85" s="256" t="s">
        <v>10</v>
      </c>
      <c r="I85" s="261">
        <v>1</v>
      </c>
      <c r="M85" s="300" t="s">
        <v>234</v>
      </c>
      <c r="N85" s="256">
        <f>N84</f>
        <v>1.44</v>
      </c>
      <c r="O85" s="256">
        <f>O83+(Parametry!J34-Parametry!G34)/COS('Obliczenia i dane'!S81)</f>
        <v>-635.63095701509803</v>
      </c>
      <c r="T85" s="261"/>
      <c r="AF85" s="260">
        <f>AF74-Parametry!Q33*Parametry!F34</f>
        <v>-100.5</v>
      </c>
      <c r="AG85" s="256">
        <f>AG84</f>
        <v>-91.6</v>
      </c>
      <c r="AH85" s="256">
        <f>AF85</f>
        <v>-100.5</v>
      </c>
      <c r="AI85" s="256">
        <f>AI84</f>
        <v>58.4</v>
      </c>
      <c r="AK85" s="256">
        <v>2142.9217095150952</v>
      </c>
      <c r="AL85" s="256">
        <v>2478.9272617017368</v>
      </c>
      <c r="AM85" s="256">
        <v>2142.9217095150952</v>
      </c>
      <c r="AN85" s="256">
        <v>2628.9272617017368</v>
      </c>
      <c r="AP85" s="256">
        <f t="shared" si="30"/>
        <v>2261.3344195164868</v>
      </c>
      <c r="AQ85" s="256">
        <f t="shared" si="31"/>
        <v>2435.731324001797</v>
      </c>
      <c r="AR85" s="256">
        <f t="shared" si="32"/>
        <v>2138.1289246654928</v>
      </c>
      <c r="AS85" s="261">
        <f t="shared" si="33"/>
        <v>2521.2906954260989</v>
      </c>
    </row>
    <row r="86" spans="3:45" ht="30.75" thickBot="1" x14ac:dyDescent="0.3">
      <c r="C86" s="400"/>
      <c r="D86" s="264">
        <f>D82-Parametry!I30*SIN('Obliczenia i dane'!AR7)</f>
        <v>1648.3270428242886</v>
      </c>
      <c r="E86" s="264">
        <f>E82+Parametry!I30*COS('Obliczenia i dane'!AR7)</f>
        <v>3498.2189435902983</v>
      </c>
      <c r="F86" s="264">
        <f>F82</f>
        <v>3360.0000000000005</v>
      </c>
      <c r="G86" s="264">
        <f>G82+Parametry!I30/COS('Obliczenia i dane'!AR7)</f>
        <v>3618.0360505925983</v>
      </c>
      <c r="H86" s="264" t="s">
        <v>10</v>
      </c>
      <c r="I86" s="265">
        <v>1</v>
      </c>
      <c r="M86" s="300" t="s">
        <v>235</v>
      </c>
      <c r="N86" s="256">
        <f>N85</f>
        <v>1.44</v>
      </c>
      <c r="O86" s="256">
        <f>O83+Parametry!J34/COS('Obliczenia i dane'!S81)</f>
        <v>-623.35877709464376</v>
      </c>
      <c r="T86" s="261"/>
      <c r="AF86" s="260">
        <f>-AF85</f>
        <v>100.5</v>
      </c>
      <c r="AG86" s="256">
        <f>AG85</f>
        <v>-91.6</v>
      </c>
      <c r="AH86" s="256">
        <f>-AH85</f>
        <v>100.5</v>
      </c>
      <c r="AI86" s="256">
        <f>AI85</f>
        <v>58.4</v>
      </c>
      <c r="AK86" s="256">
        <v>2343.9217095150952</v>
      </c>
      <c r="AL86" s="256">
        <v>2478.9272617017368</v>
      </c>
      <c r="AM86" s="256">
        <v>2343.9217095150952</v>
      </c>
      <c r="AN86" s="256">
        <v>2628.9272617017368</v>
      </c>
      <c r="AP86" s="256">
        <f t="shared" si="30"/>
        <v>2375.9839772250511</v>
      </c>
      <c r="AQ86" s="256">
        <f t="shared" si="31"/>
        <v>2600.8266871021292</v>
      </c>
      <c r="AR86" s="256">
        <f t="shared" si="32"/>
        <v>2252.7784823740571</v>
      </c>
      <c r="AS86" s="261">
        <f t="shared" si="33"/>
        <v>2686.386058526431</v>
      </c>
    </row>
    <row r="87" spans="3:45" ht="45" x14ac:dyDescent="0.25">
      <c r="C87" s="391" t="s">
        <v>129</v>
      </c>
      <c r="D87" s="258">
        <f>D9</f>
        <v>0</v>
      </c>
      <c r="E87" s="258">
        <f t="shared" ref="E87" si="34">E9</f>
        <v>3450</v>
      </c>
      <c r="F87" s="258">
        <f>D87-SIN(AR7)*(Parametry!H22*Parametry!F29+Parametry!H23)</f>
        <v>-39.802602788950914</v>
      </c>
      <c r="G87" s="258">
        <f>E87+COS(AR7)*(Parametry!H22*Parametry!F29+Parametry!H23)</f>
        <v>4018.6086112707271</v>
      </c>
      <c r="H87" s="258" t="s">
        <v>9</v>
      </c>
      <c r="I87" s="259">
        <v>5</v>
      </c>
      <c r="M87" s="300" t="s">
        <v>237</v>
      </c>
      <c r="N87" s="256">
        <f>N82</f>
        <v>0</v>
      </c>
      <c r="O87" s="256">
        <f>O82+Parametry!O33</f>
        <v>1596</v>
      </c>
      <c r="T87" s="261"/>
      <c r="AF87" s="391" t="s">
        <v>105</v>
      </c>
      <c r="AG87" s="392"/>
      <c r="AH87" s="392"/>
      <c r="AI87" s="392"/>
      <c r="AJ87" s="392"/>
      <c r="AK87" s="392"/>
      <c r="AL87" s="392"/>
      <c r="AM87" s="392"/>
      <c r="AN87" s="392"/>
      <c r="AO87" s="392"/>
      <c r="AP87" s="392"/>
      <c r="AQ87" s="392"/>
      <c r="AR87" s="392"/>
      <c r="AS87" s="393"/>
    </row>
    <row r="88" spans="3:45" ht="15.75" thickBot="1" x14ac:dyDescent="0.3">
      <c r="C88" s="400"/>
      <c r="D88" s="264">
        <f>F10</f>
        <v>3000</v>
      </c>
      <c r="E88" s="264">
        <f>G10</f>
        <v>3660</v>
      </c>
      <c r="F88" s="264">
        <f>D88-SIN(AR7)*(Parametry!H22*Parametry!F29+Parametry!H23)</f>
        <v>2960.1973972110491</v>
      </c>
      <c r="G88" s="264">
        <f>E88+COS(AR7)*(Parametry!H22*Parametry!F29+Parametry!H23)</f>
        <v>4228.6086112707271</v>
      </c>
      <c r="H88" s="264" t="s">
        <v>9</v>
      </c>
      <c r="I88" s="265">
        <v>5</v>
      </c>
      <c r="M88" s="260"/>
      <c r="N88" s="283" t="s">
        <v>83</v>
      </c>
      <c r="O88" s="283" t="s">
        <v>84</v>
      </c>
      <c r="T88" s="261"/>
      <c r="AF88" s="260">
        <f>AF72-(Parametry!G34-Parametry!I34)</f>
        <v>-5</v>
      </c>
      <c r="AG88" s="256">
        <f>AI76</f>
        <v>-49.1</v>
      </c>
      <c r="AK88" s="256" cm="1">
        <f t="array" ref="AK88:AK93">AM70+AF88:AF93</f>
        <v>2238.4217095150952</v>
      </c>
      <c r="AL88" s="256" cm="1">
        <f t="array" ref="AL88:AL93">AN70+AG88:AG93</f>
        <v>2521.4272617017368</v>
      </c>
      <c r="AP88" s="256">
        <f>$AM$70+AF88*COS($AR$70)-AG88*SIN($AR$70)</f>
        <v>2280.8989957821773</v>
      </c>
      <c r="AQ88" s="256">
        <f>$AN$70+AF88*SIN($AR$70)+AG88*COS($AR$70)</f>
        <v>2538.4139776271486</v>
      </c>
      <c r="AS88" s="261"/>
    </row>
    <row r="89" spans="3:45" x14ac:dyDescent="0.25">
      <c r="C89" s="402" t="s">
        <v>198</v>
      </c>
      <c r="D89" s="258">
        <f>N25</f>
        <v>85.568228833077484</v>
      </c>
      <c r="E89" s="258">
        <f>O25</f>
        <v>3359.7548634345758</v>
      </c>
      <c r="F89" s="258">
        <f>N26</f>
        <v>75.422641772538682</v>
      </c>
      <c r="G89" s="258">
        <f>O26</f>
        <v>3351.9505656956999</v>
      </c>
      <c r="H89" s="258" t="s">
        <v>7</v>
      </c>
      <c r="I89" s="259">
        <v>1</v>
      </c>
      <c r="M89" s="260" t="s">
        <v>236</v>
      </c>
      <c r="N89" s="256">
        <f>(O89-O83)/N83</f>
        <v>1566.6666666666667</v>
      </c>
      <c r="O89" s="256">
        <f>O87</f>
        <v>1596</v>
      </c>
      <c r="T89" s="261"/>
      <c r="AF89" s="260">
        <f>AF74+Parametry!I34</f>
        <v>-73</v>
      </c>
      <c r="AG89" s="256">
        <f>AI74</f>
        <v>18.899999999999999</v>
      </c>
      <c r="AK89" s="256">
        <v>2170.4217095150952</v>
      </c>
      <c r="AL89" s="256">
        <v>2589.4272617017368</v>
      </c>
      <c r="AP89" s="256">
        <f t="shared" ref="AP89:AP93" si="35">$AM$70+AF89*COS($AR$70)-AG89*SIN($AR$70)</f>
        <v>2186.2589230707099</v>
      </c>
      <c r="AQ89" s="256">
        <f t="shared" ref="AQ89:AQ93" si="36">$AN$70+AF89*SIN($AR$70)+AG89*COS($AR$70)</f>
        <v>2521.3477350070484</v>
      </c>
      <c r="AS89" s="261"/>
    </row>
    <row r="90" spans="3:45" ht="15.75" thickBot="1" x14ac:dyDescent="0.3">
      <c r="C90" s="403"/>
      <c r="D90" s="256">
        <f>D89</f>
        <v>85.568228833077484</v>
      </c>
      <c r="E90" s="256">
        <f>E89</f>
        <v>3359.7548634345758</v>
      </c>
      <c r="F90" s="256">
        <f>N36</f>
        <v>775.12117245126046</v>
      </c>
      <c r="G90" s="256">
        <f>O36</f>
        <v>2463.3360367309378</v>
      </c>
      <c r="H90" s="256" t="s">
        <v>7</v>
      </c>
      <c r="I90" s="261">
        <v>1</v>
      </c>
      <c r="M90" s="260" t="s">
        <v>238</v>
      </c>
      <c r="N90" s="256">
        <f>(O90-O84)/N84</f>
        <v>1632.5322354857713</v>
      </c>
      <c r="O90" s="256">
        <f>O89</f>
        <v>1596</v>
      </c>
      <c r="T90" s="261"/>
      <c r="AF90" s="260">
        <f>AH75</f>
        <v>-20</v>
      </c>
      <c r="AG90" s="256">
        <f>AG76</f>
        <v>3.8999999999999986</v>
      </c>
      <c r="AK90" s="256">
        <v>2223.4217095150952</v>
      </c>
      <c r="AL90" s="256">
        <v>2574.4272617017368</v>
      </c>
      <c r="AP90" s="256">
        <f t="shared" si="35"/>
        <v>2228.8104504590628</v>
      </c>
      <c r="AQ90" s="256">
        <f t="shared" si="36"/>
        <v>2556.3244060453026</v>
      </c>
      <c r="AS90" s="261"/>
    </row>
    <row r="91" spans="3:45" x14ac:dyDescent="0.25">
      <c r="C91" s="403"/>
      <c r="D91" s="256">
        <f>N40</f>
        <v>81.605108887554451</v>
      </c>
      <c r="E91" s="256">
        <f>O40</f>
        <v>3356.7063096303273</v>
      </c>
      <c r="F91" s="256">
        <f>N41</f>
        <v>771.15805250573749</v>
      </c>
      <c r="G91" s="256">
        <f>O41</f>
        <v>2460.2874829266893</v>
      </c>
      <c r="H91" s="256" t="s">
        <v>7</v>
      </c>
      <c r="I91" s="261">
        <v>1</v>
      </c>
      <c r="M91" s="260"/>
      <c r="N91" s="283" t="s">
        <v>83</v>
      </c>
      <c r="O91" s="283" t="s">
        <v>84</v>
      </c>
      <c r="Q91" s="257" t="s">
        <v>215</v>
      </c>
      <c r="R91" s="259">
        <f>S81</f>
        <v>0.96380866274848864</v>
      </c>
      <c r="T91" s="261"/>
      <c r="AF91" s="260" cm="1">
        <f t="array" ref="AF91:AF93">-AF88:AF90</f>
        <v>5</v>
      </c>
      <c r="AG91" s="256" cm="1">
        <f t="array" ref="AG91:AG93">AG88:AG90</f>
        <v>-49.1</v>
      </c>
      <c r="AK91" s="256">
        <v>2248.4217095150952</v>
      </c>
      <c r="AL91" s="256">
        <v>2521.4272617017368</v>
      </c>
      <c r="AP91" s="256">
        <f t="shared" si="35"/>
        <v>2286.6029538771304</v>
      </c>
      <c r="AQ91" s="256">
        <f t="shared" si="36"/>
        <v>2546.6276772838819</v>
      </c>
      <c r="AS91" s="261"/>
    </row>
    <row r="92" spans="3:45" x14ac:dyDescent="0.25">
      <c r="C92" s="403"/>
      <c r="D92" s="256" cm="1">
        <f t="array" ref="D92:E92">N26:O26</f>
        <v>75.422641772538682</v>
      </c>
      <c r="E92" s="256">
        <v>3351.9505656956999</v>
      </c>
      <c r="F92" s="256" cm="1">
        <f t="array" ref="F92:G92">N51:O51</f>
        <v>122.81037757033572</v>
      </c>
      <c r="G92" s="256">
        <v>3237.5345824752849</v>
      </c>
      <c r="H92" s="256" t="s">
        <v>7</v>
      </c>
      <c r="I92" s="261">
        <v>1</v>
      </c>
      <c r="M92" s="260" t="s">
        <v>236</v>
      </c>
      <c r="N92" s="256" cm="1">
        <f t="array" ref="N92:O92">N89:O89</f>
        <v>1566.6666666666667</v>
      </c>
      <c r="O92" s="256">
        <v>1596</v>
      </c>
      <c r="Q92" s="260" t="s">
        <v>214</v>
      </c>
      <c r="R92" s="261">
        <f>ATAN((Parametry!F34-Parametry!J34)/(Parametry!S35-Parametry!S37))</f>
        <v>0.65381698125473309</v>
      </c>
      <c r="T92" s="261"/>
      <c r="AF92" s="260">
        <v>73</v>
      </c>
      <c r="AG92" s="256">
        <v>18.899999999999999</v>
      </c>
      <c r="AK92" s="256">
        <v>2316.4217095150952</v>
      </c>
      <c r="AL92" s="256">
        <v>2589.4272617017368</v>
      </c>
      <c r="AP92" s="256">
        <f t="shared" si="35"/>
        <v>2269.5367112570302</v>
      </c>
      <c r="AQ92" s="256">
        <f t="shared" si="36"/>
        <v>2641.2677499953493</v>
      </c>
      <c r="AS92" s="261"/>
    </row>
    <row r="93" spans="3:45" ht="15.75" thickBot="1" x14ac:dyDescent="0.3">
      <c r="C93" s="404"/>
      <c r="D93" s="264" cm="1">
        <f t="array" ref="D93:E93">N51:O51</f>
        <v>122.81037757033572</v>
      </c>
      <c r="E93" s="264">
        <v>3237.5345824752849</v>
      </c>
      <c r="F93" s="264" cm="1">
        <f t="array" ref="F93:G93">N52:O52</f>
        <v>739.45309294155356</v>
      </c>
      <c r="G93" s="264">
        <v>2435.8990524927017</v>
      </c>
      <c r="H93" s="264" t="s">
        <v>7</v>
      </c>
      <c r="I93" s="265">
        <v>1</v>
      </c>
      <c r="M93" s="260" t="s">
        <v>174</v>
      </c>
      <c r="N93" s="256">
        <f>N92+COS(R93)*R94</f>
        <v>1651.375045751533</v>
      </c>
      <c r="O93" s="256">
        <f>O92+R94*SIN(R93)</f>
        <v>1623.133646782697</v>
      </c>
      <c r="Q93" s="260" t="s">
        <v>218</v>
      </c>
      <c r="R93" s="261">
        <f>R91-R92</f>
        <v>0.30999168149375556</v>
      </c>
      <c r="T93" s="261"/>
      <c r="AF93" s="263">
        <v>20</v>
      </c>
      <c r="AG93" s="264">
        <v>3.8999999999999986</v>
      </c>
      <c r="AH93" s="264"/>
      <c r="AI93" s="264"/>
      <c r="AJ93" s="264"/>
      <c r="AK93" s="264">
        <v>2263.4217095150952</v>
      </c>
      <c r="AL93" s="264">
        <v>2574.4272617017368</v>
      </c>
      <c r="AM93" s="264"/>
      <c r="AN93" s="264"/>
      <c r="AO93" s="264"/>
      <c r="AP93" s="264">
        <f t="shared" si="35"/>
        <v>2251.6262828388763</v>
      </c>
      <c r="AQ93" s="264">
        <f t="shared" si="36"/>
        <v>2589.1792046722348</v>
      </c>
      <c r="AR93" s="264"/>
      <c r="AS93" s="265"/>
    </row>
    <row r="94" spans="3:45" ht="15.75" thickBot="1" x14ac:dyDescent="0.3">
      <c r="C94" s="402" t="s">
        <v>202</v>
      </c>
      <c r="D94" s="258" cm="1">
        <f t="array" ref="D94:G108">AP34:AS48</f>
        <v>775.12117245126046</v>
      </c>
      <c r="E94" s="258">
        <v>2389.5305491300824</v>
      </c>
      <c r="F94" s="258">
        <v>810.78925196096748</v>
      </c>
      <c r="G94" s="258">
        <v>2416.9675333683185</v>
      </c>
      <c r="H94" s="258" t="s">
        <v>11</v>
      </c>
      <c r="I94" s="259">
        <v>1</v>
      </c>
      <c r="M94" s="260"/>
      <c r="N94" s="283" t="s">
        <v>83</v>
      </c>
      <c r="O94" s="283" t="s">
        <v>84</v>
      </c>
      <c r="Q94" s="260" t="s">
        <v>219</v>
      </c>
      <c r="R94" s="261">
        <f>SQRT(POWER(Parametry!S35-Parametry!S37,2)+POWER(Parametry!F34-Parametry!J34,2))</f>
        <v>88.947986345468095</v>
      </c>
      <c r="T94" s="261"/>
      <c r="AF94" s="260"/>
      <c r="AS94" s="261"/>
    </row>
    <row r="95" spans="3:45" ht="15.75" thickBot="1" x14ac:dyDescent="0.3">
      <c r="C95" s="403"/>
      <c r="D95" s="256">
        <v>810.78925196096748</v>
      </c>
      <c r="E95" s="256">
        <v>2416.9675333683185</v>
      </c>
      <c r="F95" s="256">
        <v>783.35226772273131</v>
      </c>
      <c r="G95" s="256">
        <v>2452.6356128780258</v>
      </c>
      <c r="H95" s="256" t="s">
        <v>11</v>
      </c>
      <c r="I95" s="261">
        <v>1</v>
      </c>
      <c r="M95" s="260" t="s">
        <v>238</v>
      </c>
      <c r="N95" s="256" cm="1">
        <f t="array" ref="N95:O95">N90:O90</f>
        <v>1632.5322354857713</v>
      </c>
      <c r="O95" s="256">
        <v>1596</v>
      </c>
      <c r="Q95" s="263" t="s">
        <v>240</v>
      </c>
      <c r="R95" s="265">
        <f>R92-R91</f>
        <v>-0.30999168149375556</v>
      </c>
      <c r="T95" s="261"/>
      <c r="AF95" s="270" t="s">
        <v>99</v>
      </c>
      <c r="AG95" s="290" t="s">
        <v>100</v>
      </c>
      <c r="AH95" s="290" t="s">
        <v>101</v>
      </c>
      <c r="AI95" s="290" t="s">
        <v>102</v>
      </c>
      <c r="AJ95" s="290" t="s">
        <v>103</v>
      </c>
      <c r="AK95" s="290" t="s">
        <v>97</v>
      </c>
      <c r="AL95" s="291" t="s">
        <v>19</v>
      </c>
      <c r="AS95" s="261"/>
    </row>
    <row r="96" spans="3:45" x14ac:dyDescent="0.25">
      <c r="C96" s="403"/>
      <c r="D96" s="256">
        <v>783.35226772273131</v>
      </c>
      <c r="E96" s="256">
        <v>2452.6356128780258</v>
      </c>
      <c r="F96" s="256">
        <v>782.16333173907435</v>
      </c>
      <c r="G96" s="256">
        <v>2451.7210467367513</v>
      </c>
      <c r="H96" s="256" t="s">
        <v>11</v>
      </c>
      <c r="I96" s="261">
        <v>1</v>
      </c>
      <c r="M96" s="260" t="s">
        <v>173</v>
      </c>
      <c r="N96" s="256">
        <f>N95-R94*COS(R95)</f>
        <v>1547.823856400905</v>
      </c>
      <c r="O96" s="256">
        <f>O95+R94*SIN(R95)</f>
        <v>1568.866353217303</v>
      </c>
      <c r="T96" s="261"/>
      <c r="AF96" s="260" cm="1">
        <f t="array" ref="AF96:AF101">AP88:AP93</f>
        <v>2280.8989957821773</v>
      </c>
      <c r="AG96" s="256" cm="1">
        <f t="array" ref="AG96:AG101">AQ88:AQ93</f>
        <v>2538.4139776271486</v>
      </c>
      <c r="AH96" s="256">
        <f>Parametry!I34</f>
        <v>5</v>
      </c>
      <c r="AI96" s="256">
        <f>RADIANS(180)+$AR$70</f>
        <v>4.1054013163382814</v>
      </c>
      <c r="AJ96" s="256">
        <f>RADIANS(270)+$AR$70</f>
        <v>5.676197643133178</v>
      </c>
      <c r="AK96" s="256" t="s">
        <v>11</v>
      </c>
      <c r="AL96" s="261">
        <v>1</v>
      </c>
      <c r="AS96" s="261"/>
    </row>
    <row r="97" spans="3:45" x14ac:dyDescent="0.25">
      <c r="C97" s="403"/>
      <c r="D97" s="256">
        <v>781.52313544018227</v>
      </c>
      <c r="E97" s="256">
        <v>2446.8128751119111</v>
      </c>
      <c r="F97" s="256">
        <v>799.50960288524811</v>
      </c>
      <c r="G97" s="256">
        <v>2423.4304674333252</v>
      </c>
      <c r="H97" s="256" t="s">
        <v>11</v>
      </c>
      <c r="I97" s="261">
        <v>1</v>
      </c>
      <c r="M97" s="399" t="s">
        <v>241</v>
      </c>
      <c r="N97" s="364"/>
      <c r="O97" s="364"/>
      <c r="T97" s="261"/>
      <c r="AF97" s="260">
        <v>2186.2589230707099</v>
      </c>
      <c r="AG97" s="256">
        <v>2521.3477350070484</v>
      </c>
      <c r="AH97" s="256">
        <f>AH96</f>
        <v>5</v>
      </c>
      <c r="AI97" s="256">
        <f>RADIANS(180)+$AR$70</f>
        <v>4.1054013163382814</v>
      </c>
      <c r="AJ97" s="256">
        <f>RADIANS(270)+$AR$70</f>
        <v>5.676197643133178</v>
      </c>
      <c r="AK97" s="256" t="s">
        <v>11</v>
      </c>
      <c r="AL97" s="261">
        <v>1</v>
      </c>
      <c r="AS97" s="261"/>
    </row>
    <row r="98" spans="3:45" x14ac:dyDescent="0.25">
      <c r="C98" s="403"/>
      <c r="D98" s="256">
        <v>798.22921028746373</v>
      </c>
      <c r="E98" s="256">
        <v>2413.6141241836453</v>
      </c>
      <c r="F98" s="256">
        <v>774.84680260887808</v>
      </c>
      <c r="G98" s="256">
        <v>2395.6276567385794</v>
      </c>
      <c r="H98" s="256" t="s">
        <v>11</v>
      </c>
      <c r="I98" s="261">
        <v>1</v>
      </c>
      <c r="M98" s="260"/>
      <c r="N98" s="283" t="s">
        <v>83</v>
      </c>
      <c r="O98" s="283" t="s">
        <v>84</v>
      </c>
      <c r="T98" s="261"/>
      <c r="AF98" s="260">
        <v>2228.8104504590628</v>
      </c>
      <c r="AG98" s="256">
        <v>2556.3244060453026</v>
      </c>
      <c r="AH98" s="256">
        <f>Parametry!H34</f>
        <v>10</v>
      </c>
      <c r="AI98" s="256">
        <f>RADIANS(0)+$AR$70</f>
        <v>0.96380866274848864</v>
      </c>
      <c r="AJ98" s="256">
        <f>RADIANS(90)+$AR$70</f>
        <v>2.5346049895433853</v>
      </c>
      <c r="AK98" s="256" t="s">
        <v>11</v>
      </c>
      <c r="AL98" s="261">
        <v>1</v>
      </c>
      <c r="AS98" s="261"/>
    </row>
    <row r="99" spans="3:45" x14ac:dyDescent="0.25">
      <c r="C99" s="403"/>
      <c r="D99" s="256">
        <v>774.20660630998589</v>
      </c>
      <c r="E99" s="256">
        <v>2390.7194851137392</v>
      </c>
      <c r="F99" s="256">
        <v>775.12117245126046</v>
      </c>
      <c r="G99" s="256">
        <v>2389.5305491300824</v>
      </c>
      <c r="H99" s="256" t="s">
        <v>11</v>
      </c>
      <c r="I99" s="261">
        <v>1</v>
      </c>
      <c r="M99" s="260" t="str" cm="1">
        <f t="array" ref="M99:O99">IF(R91&gt;R92,M92:O92,M96:O96)</f>
        <v>p1 = 20</v>
      </c>
      <c r="N99" s="256">
        <v>1566.6666666666667</v>
      </c>
      <c r="O99" s="256">
        <v>1596</v>
      </c>
      <c r="T99" s="261"/>
      <c r="AF99" s="260">
        <v>2286.6029538771304</v>
      </c>
      <c r="AG99" s="256">
        <v>2546.6276772838819</v>
      </c>
      <c r="AH99" s="256">
        <f>AH97</f>
        <v>5</v>
      </c>
      <c r="AI99" s="256">
        <f>RADIANS(270)+$AR$70</f>
        <v>5.676197643133178</v>
      </c>
      <c r="AJ99" s="256">
        <f>RADIANS(360)+$AR$70</f>
        <v>7.2469939699280745</v>
      </c>
      <c r="AK99" s="256" t="s">
        <v>11</v>
      </c>
      <c r="AL99" s="261">
        <v>1</v>
      </c>
      <c r="AS99" s="261"/>
    </row>
    <row r="100" spans="3:45" x14ac:dyDescent="0.25">
      <c r="C100" s="403"/>
      <c r="D100" s="256">
        <v>778.77943701635854</v>
      </c>
      <c r="E100" s="256">
        <v>2384.774805195455</v>
      </c>
      <c r="F100" s="256">
        <v>814.44751652606556</v>
      </c>
      <c r="G100" s="256">
        <v>2412.2117894336911</v>
      </c>
      <c r="H100" s="256" t="s">
        <v>11</v>
      </c>
      <c r="I100" s="261">
        <v>1</v>
      </c>
      <c r="M100" s="260" t="str" cm="1">
        <f t="array" ref="M100:O100">IF(R91&gt;R92,M93:O93,M95:O95)</f>
        <v>p2</v>
      </c>
      <c r="N100" s="256">
        <v>1651.375045751533</v>
      </c>
      <c r="O100" s="256">
        <v>1623.133646782697</v>
      </c>
      <c r="T100" s="261"/>
      <c r="AF100" s="260">
        <v>2269.5367112570302</v>
      </c>
      <c r="AG100" s="256">
        <v>2641.2677499953493</v>
      </c>
      <c r="AH100" s="256">
        <f>AH99</f>
        <v>5</v>
      </c>
      <c r="AI100" s="256">
        <f>RADIANS(270)+$AR$70</f>
        <v>5.676197643133178</v>
      </c>
      <c r="AJ100" s="256">
        <f>RADIANS(360)+$AR$70</f>
        <v>7.2469939699280745</v>
      </c>
      <c r="AK100" s="256" t="s">
        <v>11</v>
      </c>
      <c r="AL100" s="261">
        <v>1</v>
      </c>
      <c r="AS100" s="261"/>
    </row>
    <row r="101" spans="3:45" ht="15.75" thickBot="1" x14ac:dyDescent="0.3">
      <c r="C101" s="403"/>
      <c r="D101" s="256">
        <v>814.44751652606556</v>
      </c>
      <c r="E101" s="256">
        <v>2412.2117894336911</v>
      </c>
      <c r="F101" s="256">
        <v>841.88450076430172</v>
      </c>
      <c r="G101" s="256">
        <v>2376.5437099239839</v>
      </c>
      <c r="H101" s="256" t="s">
        <v>11</v>
      </c>
      <c r="I101" s="261">
        <v>1</v>
      </c>
      <c r="M101" s="260"/>
      <c r="N101" s="283" t="s">
        <v>170</v>
      </c>
      <c r="O101" s="283" t="s">
        <v>67</v>
      </c>
      <c r="T101" s="261"/>
      <c r="AF101" s="263">
        <v>2251.6262828388763</v>
      </c>
      <c r="AG101" s="264">
        <v>2589.1792046722348</v>
      </c>
      <c r="AH101" s="264">
        <f>AH98</f>
        <v>10</v>
      </c>
      <c r="AI101" s="264">
        <f>RADIANS(90)+$AR$70</f>
        <v>2.5346049895433853</v>
      </c>
      <c r="AJ101" s="264">
        <f>RADIANS(180)+$AR$70</f>
        <v>4.1054013163382814</v>
      </c>
      <c r="AK101" s="264" t="s">
        <v>11</v>
      </c>
      <c r="AL101" s="265">
        <v>1</v>
      </c>
      <c r="AS101" s="261"/>
    </row>
    <row r="102" spans="3:45" ht="15.75" thickBot="1" x14ac:dyDescent="0.3">
      <c r="C102" s="403"/>
      <c r="D102" s="256">
        <v>841.88450076430172</v>
      </c>
      <c r="E102" s="256">
        <v>2376.5437099239839</v>
      </c>
      <c r="F102" s="256">
        <v>840.69556478064476</v>
      </c>
      <c r="G102" s="256">
        <v>2375.6291437827094</v>
      </c>
      <c r="H102" s="256" t="s">
        <v>11</v>
      </c>
      <c r="I102" s="261">
        <v>1</v>
      </c>
      <c r="M102" s="260" t="s">
        <v>243</v>
      </c>
      <c r="N102" s="256">
        <f>-1/N83</f>
        <v>-0.69444444444444442</v>
      </c>
      <c r="O102" s="256">
        <f>O99-N99*N102</f>
        <v>2683.962962962963</v>
      </c>
      <c r="T102" s="261"/>
      <c r="AF102" s="391" t="s">
        <v>203</v>
      </c>
      <c r="AG102" s="392"/>
      <c r="AH102" s="392"/>
      <c r="AI102" s="393"/>
      <c r="AS102" s="261"/>
    </row>
    <row r="103" spans="3:45" x14ac:dyDescent="0.25">
      <c r="C103" s="403"/>
      <c r="D103" s="256">
        <v>835.78739315580481</v>
      </c>
      <c r="E103" s="256">
        <v>2376.2693400816015</v>
      </c>
      <c r="F103" s="256">
        <v>817.80092571073897</v>
      </c>
      <c r="G103" s="256">
        <v>2399.6517477601874</v>
      </c>
      <c r="H103" s="256" t="s">
        <v>11</v>
      </c>
      <c r="I103" s="261">
        <v>1</v>
      </c>
      <c r="M103" s="260"/>
      <c r="N103" s="283" t="s">
        <v>83</v>
      </c>
      <c r="O103" s="283" t="s">
        <v>84</v>
      </c>
      <c r="T103" s="261"/>
      <c r="AF103" s="308" t="s">
        <v>205</v>
      </c>
      <c r="AG103" s="308" t="s">
        <v>208</v>
      </c>
      <c r="AH103" s="308" t="s">
        <v>206</v>
      </c>
      <c r="AI103" s="308" t="s">
        <v>207</v>
      </c>
      <c r="AS103" s="261"/>
    </row>
    <row r="104" spans="3:45" ht="15.75" thickBot="1" x14ac:dyDescent="0.3">
      <c r="C104" s="403"/>
      <c r="D104" s="256">
        <v>807.98458246105884</v>
      </c>
      <c r="E104" s="256">
        <v>2400.932140357972</v>
      </c>
      <c r="F104" s="256">
        <v>784.60217478247318</v>
      </c>
      <c r="G104" s="256">
        <v>2382.945672912906</v>
      </c>
      <c r="H104" s="256" t="s">
        <v>11</v>
      </c>
      <c r="I104" s="261">
        <v>1</v>
      </c>
      <c r="M104" s="260" t="s">
        <v>180</v>
      </c>
      <c r="N104" s="256">
        <f>(O102-O86)/(N86-N102)</f>
        <v>1549.500034384095</v>
      </c>
      <c r="O104" s="256">
        <f>N104*N102+O102</f>
        <v>1607.9212724184526</v>
      </c>
      <c r="T104" s="261"/>
      <c r="AF104" s="284" t="s">
        <v>204</v>
      </c>
      <c r="AG104" s="284">
        <v>2</v>
      </c>
      <c r="AH104" s="309">
        <f>2*PI()+AR70</f>
        <v>7.2469939699280745</v>
      </c>
      <c r="AI104" s="284" t="s">
        <v>6</v>
      </c>
      <c r="AJ104" s="264"/>
      <c r="AK104" s="264"/>
      <c r="AL104" s="264"/>
      <c r="AM104" s="264"/>
      <c r="AN104" s="264"/>
      <c r="AO104" s="264"/>
      <c r="AP104" s="264"/>
      <c r="AQ104" s="264"/>
      <c r="AR104" s="264"/>
      <c r="AS104" s="265"/>
    </row>
    <row r="105" spans="3:45" ht="15.75" thickBot="1" x14ac:dyDescent="0.3">
      <c r="C105" s="403"/>
      <c r="D105" s="256">
        <v>779.69400315763312</v>
      </c>
      <c r="E105" s="256">
        <v>2383.5858692117981</v>
      </c>
      <c r="F105" s="256">
        <v>778.77943701635854</v>
      </c>
      <c r="G105" s="256">
        <v>2384.774805195455</v>
      </c>
      <c r="H105" s="256" t="s">
        <v>11</v>
      </c>
      <c r="I105" s="261">
        <v>1</v>
      </c>
      <c r="M105" s="260" t="s">
        <v>181</v>
      </c>
      <c r="N105" s="256">
        <f>(O102-O85)/(N85-N102)</f>
        <v>1555.249624143808</v>
      </c>
      <c r="O105" s="256">
        <f>N105*N102+O102</f>
        <v>1603.9285017519853</v>
      </c>
      <c r="T105" s="261"/>
    </row>
    <row r="106" spans="3:45" ht="30.75" thickBot="1" x14ac:dyDescent="0.3">
      <c r="C106" s="403"/>
      <c r="D106" s="257">
        <v>759.116264978956</v>
      </c>
      <c r="E106" s="258">
        <v>2373.4341850436508</v>
      </c>
      <c r="F106" s="258">
        <v>830.45242399837002</v>
      </c>
      <c r="G106" s="258">
        <v>2428.3081535201231</v>
      </c>
      <c r="H106" s="258" t="s">
        <v>8</v>
      </c>
      <c r="I106" s="259">
        <v>1</v>
      </c>
      <c r="M106" s="260" t="s">
        <v>245</v>
      </c>
      <c r="N106" s="256">
        <f>X54</f>
        <v>2243.4217095150952</v>
      </c>
      <c r="O106" s="256">
        <f>Y54</f>
        <v>2570.5272617017367</v>
      </c>
      <c r="R106" s="273" t="s">
        <v>179</v>
      </c>
      <c r="S106" s="296">
        <f>Parametry!O35/2+Parametry!F34*(1+Parametry!Q33)</f>
        <v>100.5</v>
      </c>
      <c r="U106" s="394" t="s">
        <v>270</v>
      </c>
      <c r="V106" s="395"/>
      <c r="W106" s="395"/>
      <c r="X106" s="395"/>
      <c r="Y106" s="395"/>
      <c r="Z106" s="395"/>
      <c r="AA106" s="395"/>
      <c r="AB106" s="395"/>
      <c r="AC106" s="395"/>
      <c r="AD106" s="395"/>
      <c r="AE106" s="395"/>
      <c r="AF106" s="395"/>
      <c r="AG106" s="395"/>
      <c r="AH106" s="395"/>
      <c r="AI106" s="395"/>
      <c r="AJ106" s="395"/>
      <c r="AK106" s="395"/>
      <c r="AL106" s="395"/>
      <c r="AM106" s="395"/>
      <c r="AN106" s="396"/>
    </row>
    <row r="107" spans="3:45" x14ac:dyDescent="0.25">
      <c r="C107" s="403"/>
      <c r="D107" s="260">
        <v>721.61905318669994</v>
      </c>
      <c r="E107" s="256">
        <v>2422.1805603735838</v>
      </c>
      <c r="F107" s="256">
        <v>792.95521220611397</v>
      </c>
      <c r="G107" s="256">
        <v>2477.0545288500562</v>
      </c>
      <c r="H107" s="256" t="s">
        <v>92</v>
      </c>
      <c r="I107" s="261">
        <v>4</v>
      </c>
      <c r="M107" s="260"/>
      <c r="N107" s="283" t="s">
        <v>170</v>
      </c>
      <c r="O107" s="283" t="s">
        <v>67</v>
      </c>
      <c r="U107" s="399" t="s">
        <v>271</v>
      </c>
      <c r="V107" s="364"/>
      <c r="W107" s="364"/>
      <c r="X107" s="364"/>
      <c r="Y107" s="364"/>
      <c r="Z107" s="364"/>
      <c r="AA107" s="364"/>
      <c r="AB107" s="364"/>
      <c r="AC107" s="364"/>
      <c r="AD107" s="364"/>
      <c r="AE107" s="364"/>
      <c r="AF107" s="364"/>
      <c r="AG107" s="364"/>
      <c r="AH107" s="364"/>
      <c r="AI107" s="364"/>
      <c r="AJ107" s="364"/>
      <c r="AK107" s="364"/>
      <c r="AL107" s="364"/>
      <c r="AM107" s="364"/>
      <c r="AN107" s="406"/>
    </row>
    <row r="108" spans="3:45" ht="15.75" thickBot="1" x14ac:dyDescent="0.3">
      <c r="C108" s="404"/>
      <c r="D108" s="263">
        <v>796.61347677121205</v>
      </c>
      <c r="E108" s="264">
        <v>2324.6878097137178</v>
      </c>
      <c r="F108" s="264">
        <v>867.94963579062608</v>
      </c>
      <c r="G108" s="264">
        <v>2379.5617781901901</v>
      </c>
      <c r="H108" s="264" t="s">
        <v>92</v>
      </c>
      <c r="I108" s="265">
        <v>4</v>
      </c>
      <c r="M108" s="260" t="s">
        <v>228</v>
      </c>
      <c r="N108" s="256">
        <f>N102</f>
        <v>-0.69444444444444442</v>
      </c>
      <c r="O108" s="256">
        <f>-Q108-N108*N106+O106</f>
        <v>4006.1024486660244</v>
      </c>
      <c r="Q108" s="256">
        <f>S106*SQRT(POWER(N108,2)+1)</f>
        <v>122.35655575452878</v>
      </c>
      <c r="U108" s="260"/>
      <c r="X108" s="256" t="s">
        <v>272</v>
      </c>
      <c r="Y108" s="256">
        <f>SQRT(POWER(N46-N173,2)+POWER(O46-O173,2))</f>
        <v>1876.0212647981261</v>
      </c>
      <c r="AA108" s="256" t="s">
        <v>302</v>
      </c>
      <c r="AB108" s="256">
        <f>AR32</f>
        <v>-0.91510070055336046</v>
      </c>
      <c r="AN108" s="261"/>
    </row>
    <row r="109" spans="3:45" x14ac:dyDescent="0.25">
      <c r="C109" s="402" t="s">
        <v>209</v>
      </c>
      <c r="D109" s="258" cm="1">
        <f t="array" ref="D109:E109">N69:O69</f>
        <v>1376.3024653371797</v>
      </c>
      <c r="E109" s="258">
        <v>1607.994868378388</v>
      </c>
      <c r="F109" s="258" cm="1">
        <f t="array" ref="F109:G109">N70:O70</f>
        <v>1426.1538461538462</v>
      </c>
      <c r="G109" s="258">
        <v>1596</v>
      </c>
      <c r="H109" s="258" t="s">
        <v>7</v>
      </c>
      <c r="I109" s="259">
        <v>1</v>
      </c>
      <c r="M109" s="260" t="s">
        <v>246</v>
      </c>
      <c r="N109" s="256">
        <f>N108</f>
        <v>-0.69444444444444442</v>
      </c>
      <c r="O109" s="256">
        <f>Q108-N109*N106+O106</f>
        <v>4250.8155601750814</v>
      </c>
      <c r="U109" s="260"/>
      <c r="V109" s="362" t="s">
        <v>301</v>
      </c>
      <c r="W109" s="362"/>
      <c r="X109" s="362"/>
      <c r="Y109" s="362"/>
      <c r="AA109" s="362" t="s">
        <v>88</v>
      </c>
      <c r="AB109" s="362"/>
      <c r="AC109" s="362"/>
      <c r="AD109" s="362"/>
      <c r="AN109" s="261"/>
    </row>
    <row r="110" spans="3:45" x14ac:dyDescent="0.25">
      <c r="C110" s="403"/>
      <c r="D110" s="256" cm="1">
        <f t="array" ref="D110:E110">N70:O70</f>
        <v>1426.1538461538462</v>
      </c>
      <c r="E110" s="256">
        <v>1596</v>
      </c>
      <c r="F110" s="256" cm="1">
        <f t="array" ref="F110:G110">N75:O75</f>
        <v>1436.2994332143851</v>
      </c>
      <c r="G110" s="256">
        <v>1603.8042977388761</v>
      </c>
      <c r="H110" s="256" t="s">
        <v>7</v>
      </c>
      <c r="I110" s="261">
        <v>1</v>
      </c>
      <c r="M110" s="260"/>
      <c r="N110" s="283" t="s">
        <v>83</v>
      </c>
      <c r="O110" s="283" t="s">
        <v>84</v>
      </c>
      <c r="U110" s="260"/>
      <c r="V110" s="256">
        <f>-Parametry!O37/2</f>
        <v>-50</v>
      </c>
      <c r="W110" s="256">
        <f>Parametry!O39</f>
        <v>10</v>
      </c>
      <c r="X110" s="256">
        <f>V110</f>
        <v>-50</v>
      </c>
      <c r="Y110" s="256">
        <f>0</f>
        <v>0</v>
      </c>
      <c r="AA110" s="256">
        <f>V110*COS($AB$108)-W110*SIN($AB$108)</f>
        <v>-22.559298151438618</v>
      </c>
      <c r="AB110" s="256">
        <f>V110*SIN($AB$108)+W110*COS($AB$108)</f>
        <v>45.72830706372693</v>
      </c>
      <c r="AC110" s="256">
        <f>X110*COS($AB$108)-Y110*SIN($AB$108)</f>
        <v>-30.485538042484617</v>
      </c>
      <c r="AD110" s="256">
        <f>X110*SIN($AB$108)+Y110*COS($AB$108)</f>
        <v>39.631199455230004</v>
      </c>
      <c r="AN110" s="261"/>
    </row>
    <row r="111" spans="3:45" x14ac:dyDescent="0.25">
      <c r="C111" s="403"/>
      <c r="D111" s="256" cm="1">
        <f t="array" ref="D111:E111">N76:O76</f>
        <v>850.11559603577257</v>
      </c>
      <c r="E111" s="256">
        <v>2365.8432860710718</v>
      </c>
      <c r="F111" s="256" cm="1">
        <f t="array" ref="F111:G111">N75:O75</f>
        <v>1436.2994332143851</v>
      </c>
      <c r="G111" s="256">
        <v>1603.8042977388761</v>
      </c>
      <c r="H111" s="256" t="s">
        <v>7</v>
      </c>
      <c r="I111" s="261">
        <v>1</v>
      </c>
      <c r="M111" s="260" t="s">
        <v>183</v>
      </c>
      <c r="N111" s="256">
        <f>(O108-O84)/(N84-N108)</f>
        <v>2230.5330458037388</v>
      </c>
      <c r="O111" s="256">
        <f>N111*N108+O108</f>
        <v>2457.1211668578726</v>
      </c>
      <c r="U111" s="260"/>
      <c r="V111" s="256" cm="1">
        <f t="array" ref="V111:W111">X110:Y110</f>
        <v>-50</v>
      </c>
      <c r="W111" s="256">
        <v>0</v>
      </c>
      <c r="X111" s="256">
        <f>V111</f>
        <v>-50</v>
      </c>
      <c r="Y111" s="256">
        <f>-Parametry!F33</f>
        <v>-45</v>
      </c>
      <c r="AA111" s="256">
        <f t="shared" ref="AA111:AA118" si="37">V111*COS($AB$108)-W111*SIN($AB$108)</f>
        <v>-30.485538042484617</v>
      </c>
      <c r="AB111" s="256">
        <f t="shared" ref="AB111:AB118" si="38">V111*SIN($AB$108)+W111*COS($AB$108)</f>
        <v>39.631199455230004</v>
      </c>
      <c r="AC111" s="256">
        <f t="shared" ref="AC111:AC118" si="39">X111*COS($AB$108)-Y111*SIN($AB$108)</f>
        <v>-66.153617552191619</v>
      </c>
      <c r="AD111" s="256">
        <f t="shared" ref="AD111:AD118" si="40">X111*SIN($AB$108)+Y111*COS($AB$108)</f>
        <v>12.194215216993847</v>
      </c>
      <c r="AN111" s="261"/>
    </row>
    <row r="112" spans="3:45" x14ac:dyDescent="0.25">
      <c r="C112" s="403"/>
      <c r="D112" s="256" cm="1">
        <f t="array" ref="D112:E112">N77:O77</f>
        <v>846.15247609024959</v>
      </c>
      <c r="E112" s="256">
        <v>2362.7947322668233</v>
      </c>
      <c r="F112" s="256" cm="1">
        <f t="array" ref="F112:G112">N74:O74</f>
        <v>1432.3363132688621</v>
      </c>
      <c r="G112" s="256">
        <v>1600.7557439346278</v>
      </c>
      <c r="H112" s="256" t="s">
        <v>7</v>
      </c>
      <c r="I112" s="261">
        <v>1</v>
      </c>
      <c r="M112" s="260" t="s">
        <v>186</v>
      </c>
      <c r="N112" s="256">
        <f>(O108-O85)/(N85-N108)</f>
        <v>2174.6798881379545</v>
      </c>
      <c r="O112" s="256">
        <f>N112*N108+O108</f>
        <v>2495.9080819035562</v>
      </c>
      <c r="U112" s="260"/>
      <c r="V112" s="256" cm="1">
        <f t="array" ref="V112:W112">X111:Y111</f>
        <v>-50</v>
      </c>
      <c r="W112" s="256">
        <v>-45</v>
      </c>
      <c r="X112" s="256">
        <f>V112</f>
        <v>-50</v>
      </c>
      <c r="Y112" s="256">
        <f>W112-Parametry!O39</f>
        <v>-55</v>
      </c>
      <c r="AA112" s="256">
        <f t="shared" si="37"/>
        <v>-66.153617552191619</v>
      </c>
      <c r="AB112" s="256">
        <f t="shared" si="38"/>
        <v>12.194215216993847</v>
      </c>
      <c r="AC112" s="256">
        <f t="shared" si="39"/>
        <v>-74.079857443237614</v>
      </c>
      <c r="AD112" s="256">
        <f t="shared" si="40"/>
        <v>6.0971076084969269</v>
      </c>
      <c r="AN112" s="261"/>
    </row>
    <row r="113" spans="3:40" ht="15.75" thickBot="1" x14ac:dyDescent="0.3">
      <c r="C113" s="403"/>
      <c r="D113" s="256" cm="1">
        <f t="array" ref="D113:E113">N78:O78</f>
        <v>814.44751652606567</v>
      </c>
      <c r="E113" s="256">
        <v>2338.4063018328361</v>
      </c>
      <c r="F113" s="256" cm="1">
        <f t="array" ref="F113:G113">N69:O69</f>
        <v>1376.3024653371797</v>
      </c>
      <c r="G113" s="256">
        <v>1607.994868378388</v>
      </c>
      <c r="H113" s="256" t="s">
        <v>7</v>
      </c>
      <c r="I113" s="261">
        <v>1</v>
      </c>
      <c r="M113" s="260" t="s">
        <v>193</v>
      </c>
      <c r="N113" s="256">
        <f>(O108-O86)/(N86-N108)</f>
        <v>2168.9302983782413</v>
      </c>
      <c r="O113" s="256">
        <f>N113*N108+O108</f>
        <v>2499.9008525700237</v>
      </c>
      <c r="U113" s="260"/>
      <c r="V113" s="256" cm="1">
        <f t="array" ref="V113:W113">X112:Y112</f>
        <v>-50</v>
      </c>
      <c r="W113" s="256">
        <v>-55</v>
      </c>
      <c r="X113" s="256">
        <f>Parametry!O37/2</f>
        <v>50</v>
      </c>
      <c r="Y113" s="256">
        <f>W113</f>
        <v>-55</v>
      </c>
      <c r="AA113" s="256">
        <f t="shared" si="37"/>
        <v>-74.079857443237614</v>
      </c>
      <c r="AB113" s="256">
        <f t="shared" si="38"/>
        <v>6.0971076084969269</v>
      </c>
      <c r="AC113" s="256">
        <f t="shared" si="39"/>
        <v>-13.108781358268384</v>
      </c>
      <c r="AD113" s="256">
        <f t="shared" si="40"/>
        <v>-73.16529130196308</v>
      </c>
      <c r="AN113" s="261"/>
    </row>
    <row r="114" spans="3:40" x14ac:dyDescent="0.25">
      <c r="C114" s="402" t="s">
        <v>242</v>
      </c>
      <c r="D114" s="258" cm="1">
        <f t="array" ref="D114:E114">N99:O99</f>
        <v>1566.6666666666667</v>
      </c>
      <c r="E114" s="258">
        <v>1596</v>
      </c>
      <c r="F114" s="258" cm="1">
        <f t="array" ref="F114:G114">N100:O100</f>
        <v>1651.375045751533</v>
      </c>
      <c r="G114" s="258">
        <v>1623.133646782697</v>
      </c>
      <c r="H114" s="258" t="s">
        <v>7</v>
      </c>
      <c r="I114" s="259">
        <v>1</v>
      </c>
      <c r="M114" s="391" t="s">
        <v>253</v>
      </c>
      <c r="N114" s="392"/>
      <c r="O114" s="392"/>
      <c r="P114" s="392"/>
      <c r="Q114" s="392"/>
      <c r="R114" s="392"/>
      <c r="S114" s="392"/>
      <c r="T114" s="392"/>
      <c r="U114" s="260"/>
      <c r="V114" s="256" cm="1">
        <f t="array" ref="V114:W114">X113:Y113</f>
        <v>50</v>
      </c>
      <c r="W114" s="256">
        <v>-55</v>
      </c>
      <c r="X114" s="256">
        <f>V114</f>
        <v>50</v>
      </c>
      <c r="Y114" s="256">
        <f>W112</f>
        <v>-45</v>
      </c>
      <c r="AA114" s="256">
        <f t="shared" si="37"/>
        <v>-13.108781358268384</v>
      </c>
      <c r="AB114" s="256">
        <f t="shared" si="38"/>
        <v>-73.16529130196308</v>
      </c>
      <c r="AC114" s="256">
        <f t="shared" si="39"/>
        <v>-5.1825414672223893</v>
      </c>
      <c r="AD114" s="256">
        <f t="shared" si="40"/>
        <v>-67.068183693466153</v>
      </c>
      <c r="AN114" s="261"/>
    </row>
    <row r="115" spans="3:40" x14ac:dyDescent="0.25">
      <c r="C115" s="403"/>
      <c r="D115" s="256" cm="1">
        <f t="array" ref="D115:E115">N100:O100</f>
        <v>1651.375045751533</v>
      </c>
      <c r="E115" s="256">
        <v>1623.133646782697</v>
      </c>
      <c r="F115" s="256" cm="1">
        <f t="array" ref="F115:G115">N111:O111</f>
        <v>2230.5330458037388</v>
      </c>
      <c r="G115" s="256">
        <v>2457.1211668578726</v>
      </c>
      <c r="H115" s="256" t="s">
        <v>7</v>
      </c>
      <c r="I115" s="261">
        <v>1</v>
      </c>
      <c r="M115" s="260"/>
      <c r="N115" s="283" t="s">
        <v>170</v>
      </c>
      <c r="O115" s="283" t="s">
        <v>67</v>
      </c>
      <c r="U115" s="260"/>
      <c r="V115" s="256" cm="1">
        <f t="array" ref="V115:W115">X114:Y114</f>
        <v>50</v>
      </c>
      <c r="W115" s="256">
        <v>-45</v>
      </c>
      <c r="X115" s="256">
        <f>V115</f>
        <v>50</v>
      </c>
      <c r="Y115" s="256">
        <f>Y110</f>
        <v>0</v>
      </c>
      <c r="AA115" s="256">
        <f t="shared" si="37"/>
        <v>-5.1825414672223893</v>
      </c>
      <c r="AB115" s="256">
        <f t="shared" si="38"/>
        <v>-67.068183693466153</v>
      </c>
      <c r="AC115" s="256">
        <f t="shared" si="39"/>
        <v>30.485538042484617</v>
      </c>
      <c r="AD115" s="256">
        <f t="shared" si="40"/>
        <v>-39.631199455230004</v>
      </c>
      <c r="AN115" s="261"/>
    </row>
    <row r="116" spans="3:40" ht="45" x14ac:dyDescent="0.25">
      <c r="C116" s="403"/>
      <c r="D116" s="256" cm="1">
        <f t="array" ref="D116:E116">N105:O105</f>
        <v>1555.249624143808</v>
      </c>
      <c r="E116" s="256">
        <v>1603.9285017519853</v>
      </c>
      <c r="F116" s="256" cm="1">
        <f t="array" ref="F116:G116">N112:O112</f>
        <v>2174.6798881379545</v>
      </c>
      <c r="G116" s="256">
        <v>2495.9080819035562</v>
      </c>
      <c r="H116" s="256" t="s">
        <v>7</v>
      </c>
      <c r="I116" s="261">
        <v>1</v>
      </c>
      <c r="M116" s="300" t="s">
        <v>249</v>
      </c>
      <c r="N116" s="256" cm="1">
        <f t="array" ref="N116:O116">N23:O23</f>
        <v>6.999999999999966E-2</v>
      </c>
      <c r="O116" s="256">
        <v>3353.7650874162605</v>
      </c>
      <c r="U116" s="260"/>
      <c r="V116" s="256" cm="1">
        <f t="array" ref="V116:W116">X115:Y115</f>
        <v>50</v>
      </c>
      <c r="W116" s="256">
        <v>0</v>
      </c>
      <c r="X116" s="256">
        <f>V116</f>
        <v>50</v>
      </c>
      <c r="Y116" s="256">
        <f>W110</f>
        <v>10</v>
      </c>
      <c r="AA116" s="256">
        <f t="shared" si="37"/>
        <v>30.485538042484617</v>
      </c>
      <c r="AB116" s="256">
        <f t="shared" si="38"/>
        <v>-39.631199455230004</v>
      </c>
      <c r="AC116" s="256">
        <f t="shared" si="39"/>
        <v>38.411777933530615</v>
      </c>
      <c r="AD116" s="256">
        <f t="shared" si="40"/>
        <v>-33.534091846733077</v>
      </c>
      <c r="AN116" s="261"/>
    </row>
    <row r="117" spans="3:40" x14ac:dyDescent="0.25">
      <c r="C117" s="403"/>
      <c r="D117" s="256" cm="1">
        <f t="array" ref="D117:E117">N104:O104</f>
        <v>1549.500034384095</v>
      </c>
      <c r="E117" s="256">
        <v>1607.9212724184526</v>
      </c>
      <c r="F117" s="256" cm="1">
        <f t="array" ref="F117:G117">N113:O113</f>
        <v>2168.9302983782413</v>
      </c>
      <c r="G117" s="256">
        <v>2499.9008525700237</v>
      </c>
      <c r="H117" s="256" t="s">
        <v>7</v>
      </c>
      <c r="I117" s="261">
        <v>1</v>
      </c>
      <c r="M117" s="260"/>
      <c r="N117" s="283" t="s">
        <v>83</v>
      </c>
      <c r="O117" s="283" t="s">
        <v>84</v>
      </c>
      <c r="U117" s="260"/>
      <c r="V117" s="256" cm="1">
        <f t="array" ref="V117:W117">X116:Y116</f>
        <v>50</v>
      </c>
      <c r="W117" s="256">
        <v>10</v>
      </c>
      <c r="X117" s="256" cm="1">
        <f t="array" ref="X117:Y117">V110:W110</f>
        <v>-50</v>
      </c>
      <c r="Y117" s="256">
        <v>10</v>
      </c>
      <c r="AA117" s="256">
        <f t="shared" si="37"/>
        <v>38.411777933530615</v>
      </c>
      <c r="AB117" s="256">
        <f t="shared" si="38"/>
        <v>-33.534091846733077</v>
      </c>
      <c r="AC117" s="256">
        <f t="shared" si="39"/>
        <v>-22.559298151438618</v>
      </c>
      <c r="AD117" s="256">
        <f t="shared" si="40"/>
        <v>45.72830706372693</v>
      </c>
      <c r="AN117" s="261"/>
    </row>
    <row r="118" spans="3:40" ht="15.75" thickBot="1" x14ac:dyDescent="0.3">
      <c r="C118" s="403"/>
      <c r="D118" s="256" cm="1">
        <f t="array" ref="D118:E118">N99:O99</f>
        <v>1566.6666666666667</v>
      </c>
      <c r="E118" s="256">
        <v>1596</v>
      </c>
      <c r="F118" s="256" cm="1">
        <f t="array" ref="F118:G118">N104:O104</f>
        <v>1549.500034384095</v>
      </c>
      <c r="G118" s="256">
        <v>1607.9212724184526</v>
      </c>
      <c r="H118" s="256" t="s">
        <v>7</v>
      </c>
      <c r="I118" s="261">
        <v>1</v>
      </c>
      <c r="M118" s="260" t="s">
        <v>196</v>
      </c>
      <c r="N118" s="256">
        <f>(O116-O86)/(N86-N116)</f>
        <v>2903.0101200809513</v>
      </c>
      <c r="O118" s="256">
        <f>N118*N116+O116</f>
        <v>3556.9757958219261</v>
      </c>
      <c r="U118" s="260"/>
      <c r="V118" s="256">
        <f>0</f>
        <v>0</v>
      </c>
      <c r="W118" s="256">
        <f>-(Parametry!F33+2*Parametry!O39)*Parametry!O41-Parametry!O39-Parametry!F33</f>
        <v>-87.5</v>
      </c>
      <c r="X118" s="256">
        <f>0</f>
        <v>0</v>
      </c>
      <c r="Y118" s="256">
        <f>(Parametry!F33+2*Parametry!O39)*Parametry!O41+Parametry!O39</f>
        <v>42.5</v>
      </c>
      <c r="AA118" s="256">
        <f t="shared" si="37"/>
        <v>-69.35459904665251</v>
      </c>
      <c r="AB118" s="256">
        <f t="shared" si="38"/>
        <v>-53.349691574348078</v>
      </c>
      <c r="AC118" s="256">
        <f t="shared" si="39"/>
        <v>33.686519536945504</v>
      </c>
      <c r="AD118" s="256">
        <f t="shared" si="40"/>
        <v>25.912707336111925</v>
      </c>
      <c r="AN118" s="261"/>
    </row>
    <row r="119" spans="3:40" ht="15.75" thickBot="1" x14ac:dyDescent="0.3">
      <c r="C119" s="402" t="s">
        <v>248</v>
      </c>
      <c r="D119" s="258" cm="1">
        <f t="array" ref="D119:G133">AP72:AS86</f>
        <v>2286.1466372295345</v>
      </c>
      <c r="E119" s="258">
        <v>2537.2047385110186</v>
      </c>
      <c r="F119" s="258">
        <v>2224.5438898040375</v>
      </c>
      <c r="G119" s="258">
        <v>2579.9844242231693</v>
      </c>
      <c r="H119" s="258" t="s">
        <v>11</v>
      </c>
      <c r="I119" s="259">
        <v>1</v>
      </c>
      <c r="M119" s="260"/>
      <c r="N119" s="283" t="s">
        <v>170</v>
      </c>
      <c r="O119" s="283" t="s">
        <v>67</v>
      </c>
      <c r="U119" s="260"/>
      <c r="AN119" s="261"/>
    </row>
    <row r="120" spans="3:40" ht="30.75" thickBot="1" x14ac:dyDescent="0.3">
      <c r="C120" s="403"/>
      <c r="D120" s="256">
        <v>2224.5438898040375</v>
      </c>
      <c r="E120" s="256">
        <v>2579.9844242231693</v>
      </c>
      <c r="F120" s="256">
        <v>2181.7642040918868</v>
      </c>
      <c r="G120" s="256">
        <v>2518.3816767976723</v>
      </c>
      <c r="H120" s="256" t="s">
        <v>11</v>
      </c>
      <c r="I120" s="261">
        <v>1</v>
      </c>
      <c r="M120" s="300" t="s">
        <v>251</v>
      </c>
      <c r="N120" s="256">
        <f>-1/N83</f>
        <v>-0.69444444444444442</v>
      </c>
      <c r="O120" s="256">
        <f>O118-N118*N120</f>
        <v>5572.9550458781423</v>
      </c>
      <c r="U120" s="260">
        <v>1</v>
      </c>
      <c r="V120" s="256">
        <f>IF(OR(Parametry!K33=2, Parametry!K33=4, Parametry!K33=6),N46+(N173-N46)/(Parametry!K33+1),"-")</f>
        <v>469.4692784244362</v>
      </c>
      <c r="W120" s="256">
        <f>IF(OR(Parametry!K33=2, Parametry!K33=4, Parametry!K33=6),O46-(O46-O173)/(Parametry!K33+1),"-")</f>
        <v>2860.6834989658096</v>
      </c>
      <c r="X120" s="315">
        <v>1</v>
      </c>
      <c r="Y120" s="257" cm="1">
        <f t="array" ref="Y120:Y128">V120+AA110:AA118</f>
        <v>446.90998027299759</v>
      </c>
      <c r="Z120" s="258" cm="1">
        <f t="array" ref="Z120:Z128">W120+AB110:AB118</f>
        <v>2906.4118060295364</v>
      </c>
      <c r="AA120" s="258" cm="1">
        <f t="array" ref="AA120:AA128">V120+AC110:AC118</f>
        <v>438.98374038195158</v>
      </c>
      <c r="AB120" s="259" cm="1">
        <f t="array" ref="AB120:AB128">W120+AD110:AD118</f>
        <v>2900.3146984210398</v>
      </c>
      <c r="AD120" s="315">
        <v>3</v>
      </c>
      <c r="AE120" s="257" cm="1">
        <f t="array" ref="AE120:AE128">IF(OR(Parametry!K33=4, Parametry!K33=6),V122+AA110:AA118,"-")</f>
        <v>904.44212136510475</v>
      </c>
      <c r="AF120" s="258" cm="1">
        <f t="array" ref="AF120:AF128">IF(OR(Parametry!K33=4, Parametry!K33=6),W122+AB110:AB118,"-")</f>
        <v>2311.6200226097972</v>
      </c>
      <c r="AG120" s="258" cm="1">
        <f t="array" ref="AG120:AG128">IF(OR(Parametry!K33=4, Parametry!K33=6),V122+AC110:AC118,"-")</f>
        <v>896.5158814740588</v>
      </c>
      <c r="AH120" s="259" cm="1">
        <f t="array" ref="AH120:AH128">IF(OR(Parametry!K33=4, Parametry!K33=6),W122+AD110:AD118,"-")</f>
        <v>2305.5229150013006</v>
      </c>
      <c r="AJ120" s="277">
        <v>5</v>
      </c>
      <c r="AK120" s="257" t="str" cm="1">
        <f t="array" ref="AK120">IF(Parametry!K33=6,V124+AA110:AA118,"-")</f>
        <v>-</v>
      </c>
      <c r="AL120" s="258" t="str" cm="1">
        <f t="array" ref="AL120">IF(Parametry!K33=6,W124+AB110:AB118,"-")</f>
        <v>-</v>
      </c>
      <c r="AM120" s="258" t="str" cm="1">
        <f t="array" ref="AM120">IF(Parametry!K33=6,V124+AC110:AC118,"-")</f>
        <v>-</v>
      </c>
      <c r="AN120" s="259" t="str" cm="1">
        <f t="array" ref="AN120">IF(Parametry!K33=6,W124+AD110:AD118,"-")</f>
        <v>-</v>
      </c>
    </row>
    <row r="121" spans="3:40" x14ac:dyDescent="0.25">
      <c r="C121" s="403"/>
      <c r="D121" s="256">
        <v>2181.7642040918868</v>
      </c>
      <c r="E121" s="256">
        <v>2518.3816767976723</v>
      </c>
      <c r="F121" s="256">
        <v>2183.4069440232333</v>
      </c>
      <c r="G121" s="256">
        <v>2517.2408851786818</v>
      </c>
      <c r="H121" s="256" t="s">
        <v>11</v>
      </c>
      <c r="I121" s="261">
        <v>1</v>
      </c>
      <c r="M121" s="260"/>
      <c r="N121" s="283" t="s">
        <v>83</v>
      </c>
      <c r="O121" s="283" t="s">
        <v>84</v>
      </c>
      <c r="U121" s="260">
        <v>2</v>
      </c>
      <c r="V121" s="256">
        <f>IF(OR(Parametry!K33=2, Parametry!K33=4, Parametry!K33=6),N46+2*(N173-N46)/(Parametry!K33+1),"-")</f>
        <v>698.23534897048978</v>
      </c>
      <c r="W121" s="256">
        <f>IF(OR(Parametry!K33=2, Parametry!K33=4, Parametry!K33=6),O46-2*(O46-O173)/(Parametry!K33+1),"-")</f>
        <v>2563.2876072559397</v>
      </c>
      <c r="Y121" s="260">
        <v>438.98374038195158</v>
      </c>
      <c r="Z121" s="256">
        <v>2900.3146984210398</v>
      </c>
      <c r="AA121" s="256">
        <v>403.31566087224456</v>
      </c>
      <c r="AB121" s="261">
        <v>2872.8777141828036</v>
      </c>
      <c r="AE121" s="260">
        <v>896.5158814740588</v>
      </c>
      <c r="AF121" s="256">
        <v>2305.5229150013006</v>
      </c>
      <c r="AG121" s="256">
        <v>860.84780196435179</v>
      </c>
      <c r="AH121" s="261">
        <v>2278.0859307630644</v>
      </c>
      <c r="AK121" s="260"/>
      <c r="AN121" s="261"/>
    </row>
    <row r="122" spans="3:40" x14ac:dyDescent="0.25">
      <c r="C122" s="403"/>
      <c r="D122" s="256">
        <v>2190.3657728990761</v>
      </c>
      <c r="E122" s="256">
        <v>2518.4957559595714</v>
      </c>
      <c r="F122" s="256">
        <v>2220.5967508023296</v>
      </c>
      <c r="G122" s="256">
        <v>2562.0283641402557</v>
      </c>
      <c r="H122" s="256" t="s">
        <v>11</v>
      </c>
      <c r="I122" s="261">
        <v>1</v>
      </c>
      <c r="M122" s="260" t="s">
        <v>197</v>
      </c>
      <c r="N122" s="256">
        <f>(O120-O85)/(N85-N120)</f>
        <v>2908.7597098406645</v>
      </c>
      <c r="O122" s="256">
        <f>N122*N120+O120</f>
        <v>3552.9830251554586</v>
      </c>
      <c r="U122" s="260">
        <v>3</v>
      </c>
      <c r="V122" s="256">
        <f>IF(OR(Parametry!K33=4, Parametry!K33=6),N46+3*(N173-N46)/(Parametry!K33+1),"-")</f>
        <v>927.00141951654336</v>
      </c>
      <c r="W122" s="256">
        <f>IF(OR(Parametry!K33=4, Parametry!K33=6),O46-3*(O46-O173)/(Parametry!K33+1),"-")</f>
        <v>2265.8917155460704</v>
      </c>
      <c r="Y122" s="260">
        <v>403.31566087224456</v>
      </c>
      <c r="Z122" s="256">
        <v>2872.8777141828036</v>
      </c>
      <c r="AA122" s="256">
        <v>395.38942098119855</v>
      </c>
      <c r="AB122" s="261">
        <v>2866.7806065743066</v>
      </c>
      <c r="AE122" s="260">
        <v>860.84780196435179</v>
      </c>
      <c r="AF122" s="256">
        <v>2278.0859307630644</v>
      </c>
      <c r="AG122" s="256">
        <v>852.92156207330572</v>
      </c>
      <c r="AH122" s="261">
        <v>2271.9888231545674</v>
      </c>
      <c r="AK122" s="260"/>
      <c r="AN122" s="261"/>
    </row>
    <row r="123" spans="3:40" ht="15.75" thickBot="1" x14ac:dyDescent="0.3">
      <c r="C123" s="403"/>
      <c r="D123" s="256">
        <v>2234.514408554016</v>
      </c>
      <c r="E123" s="256">
        <v>2564.5381057020359</v>
      </c>
      <c r="F123" s="256">
        <v>2278.0470167347003</v>
      </c>
      <c r="G123" s="256">
        <v>2534.3071277987824</v>
      </c>
      <c r="H123" s="256" t="s">
        <v>11</v>
      </c>
      <c r="I123" s="261">
        <v>1</v>
      </c>
      <c r="M123" s="260" t="s">
        <v>211</v>
      </c>
      <c r="N123" s="256">
        <f>(O120-O83)/(N83-N120)</f>
        <v>2920.1767523635235</v>
      </c>
      <c r="O123" s="256">
        <f>N123*N120+O120</f>
        <v>3545.0545234034735</v>
      </c>
      <c r="U123" s="260">
        <v>4</v>
      </c>
      <c r="V123" s="256">
        <f>IF(OR(Parametry!K33=4, Parametry!K33=6),N46+4*(N173-N46)/(Parametry!K33+1),"-")</f>
        <v>1155.7674900625971</v>
      </c>
      <c r="W123" s="256">
        <f>IF(OR(Parametry!K33=4, Parametry!K33=6),O46-4*(O46-O173)/(Parametry!K33+1),"-")</f>
        <v>1968.4958238362008</v>
      </c>
      <c r="Y123" s="260">
        <v>395.38942098119855</v>
      </c>
      <c r="Z123" s="256">
        <v>2866.7806065743066</v>
      </c>
      <c r="AA123" s="256">
        <v>456.3604970661678</v>
      </c>
      <c r="AB123" s="261">
        <v>2787.5182076638466</v>
      </c>
      <c r="AE123" s="260">
        <v>852.92156207330572</v>
      </c>
      <c r="AF123" s="256">
        <v>2271.9888231545674</v>
      </c>
      <c r="AG123" s="256">
        <v>913.89263815827496</v>
      </c>
      <c r="AH123" s="261">
        <v>2192.7264242441074</v>
      </c>
      <c r="AK123" s="260"/>
      <c r="AN123" s="261"/>
    </row>
    <row r="124" spans="3:40" x14ac:dyDescent="0.25">
      <c r="C124" s="403"/>
      <c r="D124" s="256">
        <v>2285.0058456105439</v>
      </c>
      <c r="E124" s="256">
        <v>2535.561998579672</v>
      </c>
      <c r="F124" s="256">
        <v>2286.1466372295345</v>
      </c>
      <c r="G124" s="256">
        <v>2537.2047385110186</v>
      </c>
      <c r="H124" s="256" t="s">
        <v>11</v>
      </c>
      <c r="I124" s="261">
        <v>1</v>
      </c>
      <c r="M124" s="260" t="s">
        <v>213</v>
      </c>
      <c r="N124" s="256">
        <f>N123-R125*COS(R124)</f>
        <v>2924.340603564508</v>
      </c>
      <c r="O124" s="256">
        <f>O123-R125*SIN(R124)</f>
        <v>3456.2040500333801</v>
      </c>
      <c r="Q124" s="257" t="s">
        <v>254</v>
      </c>
      <c r="R124" s="259">
        <f>R92+R91</f>
        <v>1.6176256440032217</v>
      </c>
      <c r="U124" s="260">
        <v>5</v>
      </c>
      <c r="V124" s="256" t="str">
        <f>IF(Parametry!K33=6,N46+5*(N173-N46)/(Parametry!K33+1),"-")</f>
        <v>-</v>
      </c>
      <c r="W124" s="256" t="str">
        <f>IF(Parametry!K33=6,O46-5*(O46-O173)/(Parametry!K33+1),"-")</f>
        <v>-</v>
      </c>
      <c r="Y124" s="260">
        <v>456.3604970661678</v>
      </c>
      <c r="Z124" s="256">
        <v>2787.5182076638466</v>
      </c>
      <c r="AA124" s="256">
        <v>464.2867369572138</v>
      </c>
      <c r="AB124" s="261">
        <v>2793.6153152723437</v>
      </c>
      <c r="AE124" s="260">
        <v>913.89263815827496</v>
      </c>
      <c r="AF124" s="256">
        <v>2192.7264242441074</v>
      </c>
      <c r="AG124" s="256">
        <v>921.81887804932103</v>
      </c>
      <c r="AH124" s="261">
        <v>2198.823531852604</v>
      </c>
      <c r="AK124" s="260"/>
      <c r="AN124" s="261"/>
    </row>
    <row r="125" spans="3:40" ht="15.75" thickBot="1" x14ac:dyDescent="0.3">
      <c r="C125" s="403"/>
      <c r="D125" s="256">
        <v>2289.5690120865065</v>
      </c>
      <c r="E125" s="256">
        <v>2542.1329583050588</v>
      </c>
      <c r="F125" s="256">
        <v>2227.9662646610095</v>
      </c>
      <c r="G125" s="256">
        <v>2584.9126440172095</v>
      </c>
      <c r="H125" s="256" t="s">
        <v>11</v>
      </c>
      <c r="I125" s="261">
        <v>1</v>
      </c>
      <c r="M125" s="260" t="s">
        <v>222</v>
      </c>
      <c r="N125" s="256">
        <f>(O109-O84)/(N84-N109)</f>
        <v>2345.1826035123022</v>
      </c>
      <c r="O125" s="256">
        <f>N125*N109+O109</f>
        <v>2622.2165299582048</v>
      </c>
      <c r="Q125" s="263" t="s">
        <v>219</v>
      </c>
      <c r="R125" s="265">
        <f>R94</f>
        <v>88.947986345468095</v>
      </c>
      <c r="U125" s="260">
        <v>6</v>
      </c>
      <c r="V125" s="256" t="str">
        <f>IF(Parametry!K33=6,N46+6*(N173-N46)/(Parametry!K33+1),"-")</f>
        <v>-</v>
      </c>
      <c r="W125" s="256" t="str">
        <f>IF(Parametry!K33=6,O46-6*(O46-O173)/(Parametry!K33+1),"-")</f>
        <v>-</v>
      </c>
      <c r="Y125" s="260">
        <v>464.2867369572138</v>
      </c>
      <c r="Z125" s="256">
        <v>2793.6153152723437</v>
      </c>
      <c r="AA125" s="256">
        <v>499.95481646692082</v>
      </c>
      <c r="AB125" s="261">
        <v>2821.0522995105794</v>
      </c>
      <c r="AE125" s="260">
        <v>921.81887804932103</v>
      </c>
      <c r="AF125" s="256">
        <v>2198.823531852604</v>
      </c>
      <c r="AG125" s="256">
        <v>957.48695755902793</v>
      </c>
      <c r="AH125" s="261">
        <v>2226.2605160908402</v>
      </c>
      <c r="AK125" s="260"/>
      <c r="AN125" s="261"/>
    </row>
    <row r="126" spans="3:40" x14ac:dyDescent="0.25">
      <c r="C126" s="403"/>
      <c r="D126" s="256">
        <v>2227.9662646610095</v>
      </c>
      <c r="E126" s="256">
        <v>2584.9126440172095</v>
      </c>
      <c r="F126" s="256">
        <v>2270.7459503731602</v>
      </c>
      <c r="G126" s="256">
        <v>2646.5153914427065</v>
      </c>
      <c r="H126" s="256" t="s">
        <v>11</v>
      </c>
      <c r="I126" s="261">
        <v>1</v>
      </c>
      <c r="M126" s="260" t="s">
        <v>223</v>
      </c>
      <c r="N126" s="256">
        <f>(O109-O85)/(N85-N109)</f>
        <v>2289.3294458465184</v>
      </c>
      <c r="O126" s="256">
        <f>N126*N109+O109</f>
        <v>2661.0034450038884</v>
      </c>
      <c r="U126" s="260"/>
      <c r="Y126" s="260">
        <v>499.95481646692082</v>
      </c>
      <c r="Z126" s="256">
        <v>2821.0522995105794</v>
      </c>
      <c r="AA126" s="256">
        <v>507.88105635796683</v>
      </c>
      <c r="AB126" s="261">
        <v>2827.1494071190764</v>
      </c>
      <c r="AE126" s="260">
        <v>957.48695755902793</v>
      </c>
      <c r="AF126" s="256">
        <v>2226.2605160908402</v>
      </c>
      <c r="AG126" s="256">
        <v>965.41319745007399</v>
      </c>
      <c r="AH126" s="261">
        <v>2232.3576236993372</v>
      </c>
      <c r="AK126" s="260"/>
      <c r="AN126" s="261"/>
    </row>
    <row r="127" spans="3:40" ht="15.75" thickBot="1" x14ac:dyDescent="0.3">
      <c r="C127" s="403"/>
      <c r="D127" s="256">
        <v>2270.7459503731602</v>
      </c>
      <c r="E127" s="256">
        <v>2646.5153914427065</v>
      </c>
      <c r="F127" s="256">
        <v>2272.3886903045068</v>
      </c>
      <c r="G127" s="256">
        <v>2645.3745998237159</v>
      </c>
      <c r="H127" s="256" t="s">
        <v>11</v>
      </c>
      <c r="I127" s="261">
        <v>1</v>
      </c>
      <c r="M127" s="263" t="s">
        <v>225</v>
      </c>
      <c r="N127" s="264">
        <f>(O109-O86)/(N86-N109)</f>
        <v>2283.5798560868056</v>
      </c>
      <c r="O127" s="264">
        <f>N127*N109+O109</f>
        <v>2664.996215670355</v>
      </c>
      <c r="P127" s="264"/>
      <c r="Q127" s="264"/>
      <c r="R127" s="264"/>
      <c r="S127" s="264"/>
      <c r="T127" s="264"/>
      <c r="U127" s="260"/>
      <c r="Y127" s="260">
        <v>507.88105635796683</v>
      </c>
      <c r="Z127" s="256">
        <v>2827.1494071190764</v>
      </c>
      <c r="AA127" s="256">
        <v>446.90998027299759</v>
      </c>
      <c r="AB127" s="261">
        <v>2906.4118060295364</v>
      </c>
      <c r="AE127" s="260">
        <v>965.41319745007399</v>
      </c>
      <c r="AF127" s="256">
        <v>2232.3576236993372</v>
      </c>
      <c r="AG127" s="256">
        <v>904.44212136510475</v>
      </c>
      <c r="AH127" s="261">
        <v>2311.6200226097972</v>
      </c>
      <c r="AK127" s="260"/>
      <c r="AN127" s="261"/>
    </row>
    <row r="128" spans="3:40" ht="15.75" thickBot="1" x14ac:dyDescent="0.3">
      <c r="C128" s="403"/>
      <c r="D128" s="256">
        <v>2273.6435610853964</v>
      </c>
      <c r="E128" s="256">
        <v>2638.4157709478723</v>
      </c>
      <c r="F128" s="256">
        <v>2243.412583182143</v>
      </c>
      <c r="G128" s="256">
        <v>2594.883162767188</v>
      </c>
      <c r="H128" s="256" t="s">
        <v>11</v>
      </c>
      <c r="I128" s="261">
        <v>1</v>
      </c>
      <c r="U128" s="260"/>
      <c r="Y128" s="263">
        <v>400.11467937778366</v>
      </c>
      <c r="Z128" s="264">
        <v>2807.3338073914615</v>
      </c>
      <c r="AA128" s="264">
        <v>503.15579796138172</v>
      </c>
      <c r="AB128" s="265">
        <v>2886.5962063019215</v>
      </c>
      <c r="AE128" s="263">
        <v>857.64682046989083</v>
      </c>
      <c r="AF128" s="264">
        <v>2212.5420239717223</v>
      </c>
      <c r="AG128" s="264">
        <v>960.68793905348889</v>
      </c>
      <c r="AH128" s="265">
        <v>2291.8044228821823</v>
      </c>
      <c r="AK128" s="263"/>
      <c r="AL128" s="264"/>
      <c r="AM128" s="264"/>
      <c r="AN128" s="265"/>
    </row>
    <row r="129" spans="3:40" ht="15.75" thickBot="1" x14ac:dyDescent="0.3">
      <c r="C129" s="403"/>
      <c r="D129" s="256">
        <v>2245.9223247439231</v>
      </c>
      <c r="E129" s="256">
        <v>2580.9655050155015</v>
      </c>
      <c r="F129" s="256">
        <v>2289.4549329246074</v>
      </c>
      <c r="G129" s="256">
        <v>2550.7345271122481</v>
      </c>
      <c r="H129" s="256" t="s">
        <v>11</v>
      </c>
      <c r="I129" s="261">
        <v>1</v>
      </c>
      <c r="M129" s="391" t="s">
        <v>255</v>
      </c>
      <c r="N129" s="392"/>
      <c r="O129" s="392"/>
      <c r="P129" s="392"/>
      <c r="Q129" s="392"/>
      <c r="R129" s="392"/>
      <c r="S129" s="392"/>
      <c r="T129" s="392"/>
      <c r="U129" s="260"/>
      <c r="AN129" s="261"/>
    </row>
    <row r="130" spans="3:40" ht="30.75" thickBot="1" x14ac:dyDescent="0.3">
      <c r="C130" s="403"/>
      <c r="D130" s="256">
        <v>2290.7098037054971</v>
      </c>
      <c r="E130" s="256">
        <v>2543.7756982364053</v>
      </c>
      <c r="F130" s="256">
        <v>2289.5690120865065</v>
      </c>
      <c r="G130" s="256">
        <v>2542.1329583050588</v>
      </c>
      <c r="H130" s="256" t="s">
        <v>11</v>
      </c>
      <c r="I130" s="261">
        <v>1</v>
      </c>
      <c r="M130" s="260"/>
      <c r="N130" s="283" t="s">
        <v>170</v>
      </c>
      <c r="O130" s="283" t="s">
        <v>67</v>
      </c>
      <c r="R130" s="254" t="s">
        <v>259</v>
      </c>
      <c r="S130" s="256">
        <f>ATAN((G11-E11)/(F11-D11))</f>
        <v>-0.96380866274848853</v>
      </c>
      <c r="T130" s="256">
        <f>DEGREES(S130)</f>
        <v>-55.222168633636116</v>
      </c>
      <c r="U130" s="260"/>
      <c r="X130" s="315">
        <v>2</v>
      </c>
      <c r="Y130" s="257" cm="1">
        <f t="array" ref="Y130:Y138">V121+AA110:AA118</f>
        <v>675.67605081905117</v>
      </c>
      <c r="Z130" s="258" cm="1">
        <f t="array" ref="Z130:Z138">W121+AB110:AB118</f>
        <v>2609.0159143196665</v>
      </c>
      <c r="AA130" s="258" cm="1">
        <f t="array" ref="AA130:AA138">V121+AC110:AC118</f>
        <v>667.74981092800522</v>
      </c>
      <c r="AB130" s="259" cm="1">
        <f t="array" ref="AB130:AB138">W121+AD110:AD118</f>
        <v>2602.91880671117</v>
      </c>
      <c r="AD130" s="277">
        <v>4</v>
      </c>
      <c r="AE130" s="257" cm="1">
        <f t="array" ref="AE130:AE138">IF(OR(Parametry!K33=4, Parametry!K33=6),V123+AA110:AA118,"-")</f>
        <v>1133.2081919111583</v>
      </c>
      <c r="AF130" s="258" cm="1">
        <f t="array" ref="AF130:AF138">IF(OR(Parametry!K33=4, Parametry!K33=6),W123+AB110:AB118,"-")</f>
        <v>2014.2241308999278</v>
      </c>
      <c r="AG130" s="258" cm="1">
        <f t="array" ref="AG130:AG138">IF(OR(Parametry!K33=4, Parametry!K33=6),V123+AC110:AC118,"-")</f>
        <v>1125.2819520201124</v>
      </c>
      <c r="AH130" s="259" cm="1">
        <f t="array" ref="AH130:AH138">IF(OR(Parametry!K33=4, Parametry!K33=6),W123+AD110:AD118,"-")</f>
        <v>2008.1270232914308</v>
      </c>
      <c r="AJ130" s="277">
        <v>6</v>
      </c>
      <c r="AK130" s="257" t="str" cm="1">
        <f t="array" ref="AK130">IF(Parametry!K33=6,V125+AA110:AA118,"-")</f>
        <v>-</v>
      </c>
      <c r="AL130" s="258" t="str" cm="1">
        <f t="array" ref="AL130">IF(Parametry!K33=6,W125+AB110:AB118,"-")</f>
        <v>-</v>
      </c>
      <c r="AM130" s="258" t="str" cm="1">
        <f t="array" ref="AM130">IF(Parametry!K33=6,V125+AC110:AC118,"-")</f>
        <v>-</v>
      </c>
      <c r="AN130" s="259" t="str" cm="1">
        <f t="array" ref="AN130">IF(Parametry!K33=6,W125+AD110:AD118,"-")</f>
        <v>-</v>
      </c>
    </row>
    <row r="131" spans="3:40" ht="30" x14ac:dyDescent="0.25">
      <c r="C131" s="403"/>
      <c r="D131" s="257">
        <v>2318.659198370769</v>
      </c>
      <c r="E131" s="258">
        <v>2518.2790055519631</v>
      </c>
      <c r="F131" s="258">
        <v>2195.453703519775</v>
      </c>
      <c r="G131" s="258">
        <v>2603.838376976265</v>
      </c>
      <c r="H131" s="258" t="s">
        <v>8</v>
      </c>
      <c r="I131" s="259">
        <v>1</v>
      </c>
      <c r="M131" s="260" t="s">
        <v>256</v>
      </c>
      <c r="N131" s="256">
        <f>(G11-E11)/(F11-D11)</f>
        <v>-1.4399999999999997</v>
      </c>
      <c r="O131" s="256">
        <f>E11-N131*D11</f>
        <v>7979.9999999999991</v>
      </c>
      <c r="R131" s="254" t="s">
        <v>260</v>
      </c>
      <c r="S131" s="256">
        <f>-S130</f>
        <v>0.96380866274848853</v>
      </c>
      <c r="T131" s="256">
        <f>DEGREES(S131)</f>
        <v>55.222168633636116</v>
      </c>
      <c r="U131" s="260"/>
      <c r="Y131" s="260">
        <v>667.74981092800522</v>
      </c>
      <c r="Z131" s="256">
        <v>2602.91880671117</v>
      </c>
      <c r="AA131" s="256">
        <v>632.0817314182982</v>
      </c>
      <c r="AB131" s="261">
        <v>2575.4818224729338</v>
      </c>
      <c r="AE131" s="260">
        <v>1125.2819520201124</v>
      </c>
      <c r="AF131" s="256">
        <v>2008.1270232914308</v>
      </c>
      <c r="AG131" s="256">
        <v>1089.6138725104054</v>
      </c>
      <c r="AH131" s="261">
        <v>1980.6900390531946</v>
      </c>
      <c r="AK131" s="260"/>
      <c r="AN131" s="261"/>
    </row>
    <row r="132" spans="3:40" ht="39" customHeight="1" x14ac:dyDescent="0.25">
      <c r="C132" s="403"/>
      <c r="D132" s="260">
        <v>2261.3344195164868</v>
      </c>
      <c r="E132" s="256">
        <v>2435.731324001797</v>
      </c>
      <c r="F132" s="256">
        <v>2138.1289246654928</v>
      </c>
      <c r="G132" s="256">
        <v>2521.2906954260989</v>
      </c>
      <c r="H132" s="256" t="s">
        <v>92</v>
      </c>
      <c r="I132" s="261">
        <v>4</v>
      </c>
      <c r="M132" s="300" t="str" cm="1">
        <f t="array" ref="M132:O132">M23:O23</f>
        <v>rownolegla do pasa gornego odsunieta o wartosc</v>
      </c>
      <c r="N132" s="256">
        <v>6.999999999999966E-2</v>
      </c>
      <c r="O132" s="256">
        <v>3353.7650874162605</v>
      </c>
      <c r="U132" s="260"/>
      <c r="Y132" s="260">
        <v>632.0817314182982</v>
      </c>
      <c r="Z132" s="256">
        <v>2575.4818224729338</v>
      </c>
      <c r="AA132" s="256">
        <v>624.15549152725214</v>
      </c>
      <c r="AB132" s="261">
        <v>2569.3847148644368</v>
      </c>
      <c r="AE132" s="260">
        <v>1089.6138725104054</v>
      </c>
      <c r="AF132" s="256">
        <v>1980.6900390531946</v>
      </c>
      <c r="AG132" s="256">
        <v>1081.6876326193594</v>
      </c>
      <c r="AH132" s="261">
        <v>1974.5929314446978</v>
      </c>
      <c r="AK132" s="260"/>
      <c r="AN132" s="261"/>
    </row>
    <row r="133" spans="3:40" ht="15.75" thickBot="1" x14ac:dyDescent="0.3">
      <c r="C133" s="403"/>
      <c r="D133" s="260">
        <v>2375.9839772250511</v>
      </c>
      <c r="E133" s="256">
        <v>2600.8266871021292</v>
      </c>
      <c r="F133" s="256">
        <v>2252.7784823740571</v>
      </c>
      <c r="G133" s="256">
        <v>2686.386058526431</v>
      </c>
      <c r="H133" s="256" t="s">
        <v>92</v>
      </c>
      <c r="I133" s="261">
        <v>4</v>
      </c>
      <c r="M133" s="260"/>
      <c r="N133" s="283" t="s">
        <v>83</v>
      </c>
      <c r="O133" s="283" t="s">
        <v>84</v>
      </c>
      <c r="U133" s="260"/>
      <c r="Y133" s="260">
        <v>624.15549152725214</v>
      </c>
      <c r="Z133" s="256">
        <v>2569.3847148644368</v>
      </c>
      <c r="AA133" s="256">
        <v>685.12656761222138</v>
      </c>
      <c r="AB133" s="261">
        <v>2490.1223159539768</v>
      </c>
      <c r="AE133" s="260">
        <v>1081.6876326193594</v>
      </c>
      <c r="AF133" s="256">
        <v>1974.5929314446978</v>
      </c>
      <c r="AG133" s="256">
        <v>1142.6587087043288</v>
      </c>
      <c r="AH133" s="261">
        <v>1895.3305325342376</v>
      </c>
      <c r="AK133" s="260"/>
      <c r="AN133" s="261"/>
    </row>
    <row r="134" spans="3:40" ht="15" customHeight="1" x14ac:dyDescent="0.25">
      <c r="C134" s="402" t="s">
        <v>253</v>
      </c>
      <c r="D134" s="258" cm="1">
        <f t="array" ref="D134:E134">N125:O125</f>
        <v>2345.1826035123022</v>
      </c>
      <c r="E134" s="258">
        <v>2622.2165299582048</v>
      </c>
      <c r="F134" s="258" cm="1">
        <f t="array" ref="F134:G134">N124:O124</f>
        <v>2924.340603564508</v>
      </c>
      <c r="G134" s="258">
        <v>3456.2040500333801</v>
      </c>
      <c r="H134" s="258" t="s">
        <v>7</v>
      </c>
      <c r="I134" s="259">
        <v>1</v>
      </c>
      <c r="M134" s="260" t="s">
        <v>173</v>
      </c>
      <c r="N134" s="256">
        <f>MAX(Q134:Q135)</f>
        <v>3078.593026591107</v>
      </c>
      <c r="O134" s="256">
        <f>N134*N132+O132</f>
        <v>3569.2665992776369</v>
      </c>
      <c r="Q134" s="256">
        <f>(R134-T134)/S134</f>
        <v>3048.8704337847089</v>
      </c>
      <c r="R134" s="256">
        <f>Parametry!J35*SQRT(POWER(N131,2)+1)</f>
        <v>22.440557568830592</v>
      </c>
      <c r="S134" s="256">
        <f>N131-N132</f>
        <v>-1.5099999999999993</v>
      </c>
      <c r="T134" s="256">
        <f>O131-O132</f>
        <v>4626.2349125837391</v>
      </c>
      <c r="U134" s="260"/>
      <c r="Y134" s="260">
        <v>685.12656761222138</v>
      </c>
      <c r="Z134" s="256">
        <v>2490.1223159539768</v>
      </c>
      <c r="AA134" s="256">
        <v>693.05280750326745</v>
      </c>
      <c r="AB134" s="261">
        <v>2496.2194235624738</v>
      </c>
      <c r="AE134" s="260">
        <v>1142.6587087043288</v>
      </c>
      <c r="AF134" s="256">
        <v>1895.3305325342376</v>
      </c>
      <c r="AG134" s="256">
        <v>1150.5849485953747</v>
      </c>
      <c r="AH134" s="261">
        <v>1901.4276401427346</v>
      </c>
      <c r="AK134" s="260"/>
      <c r="AN134" s="261"/>
    </row>
    <row r="135" spans="3:40" x14ac:dyDescent="0.25">
      <c r="C135" s="403"/>
      <c r="D135" s="256" cm="1">
        <f t="array" ref="D135:E135">N124:O124</f>
        <v>2924.340603564508</v>
      </c>
      <c r="E135" s="256">
        <v>3456.2040500333801</v>
      </c>
      <c r="F135" s="256" cm="1">
        <f t="array" ref="F135:G135">N123:O123</f>
        <v>2920.1767523635235</v>
      </c>
      <c r="G135" s="256">
        <v>3545.0545234034735</v>
      </c>
      <c r="H135" s="256" t="s">
        <v>7</v>
      </c>
      <c r="I135" s="261">
        <v>1</v>
      </c>
      <c r="M135" s="260"/>
      <c r="N135" s="283" t="s">
        <v>170</v>
      </c>
      <c r="O135" s="283" t="s">
        <v>67</v>
      </c>
      <c r="Q135" s="256">
        <f>(R135-T135)/S135</f>
        <v>3078.593026591107</v>
      </c>
      <c r="R135" s="256">
        <f>R134</f>
        <v>22.440557568830592</v>
      </c>
      <c r="S135" s="256">
        <f>-S134</f>
        <v>1.5099999999999993</v>
      </c>
      <c r="T135" s="256">
        <f>-T134</f>
        <v>-4626.2349125837391</v>
      </c>
      <c r="U135" s="260"/>
      <c r="Y135" s="260">
        <v>693.05280750326745</v>
      </c>
      <c r="Z135" s="256">
        <v>2496.2194235624738</v>
      </c>
      <c r="AA135" s="256">
        <v>728.72088701297434</v>
      </c>
      <c r="AB135" s="261">
        <v>2523.6564078007095</v>
      </c>
      <c r="AE135" s="260">
        <v>1150.5849485953747</v>
      </c>
      <c r="AF135" s="256">
        <v>1901.4276401427346</v>
      </c>
      <c r="AG135" s="256">
        <v>1186.2530281050817</v>
      </c>
      <c r="AH135" s="261">
        <v>1928.8646243809708</v>
      </c>
      <c r="AK135" s="260"/>
      <c r="AN135" s="261"/>
    </row>
    <row r="136" spans="3:40" ht="30" x14ac:dyDescent="0.25">
      <c r="C136" s="403"/>
      <c r="D136" s="256" cm="1">
        <f t="array" ref="D136:E136">N123:O123</f>
        <v>2920.1767523635235</v>
      </c>
      <c r="E136" s="256">
        <v>3545.0545234034735</v>
      </c>
      <c r="F136" s="256" cm="1">
        <f t="array" ref="F136:G136">N118:O118</f>
        <v>2903.0101200809513</v>
      </c>
      <c r="G136" s="256">
        <v>3556.9757958219261</v>
      </c>
      <c r="H136" s="256" t="s">
        <v>7</v>
      </c>
      <c r="I136" s="261">
        <v>1</v>
      </c>
      <c r="M136" s="300" t="s">
        <v>257</v>
      </c>
      <c r="N136" s="256">
        <f>-1/N131</f>
        <v>0.69444444444444453</v>
      </c>
      <c r="O136" s="256">
        <f>O134-N134*N136</f>
        <v>1431.3547752560344</v>
      </c>
      <c r="U136" s="260"/>
      <c r="Y136" s="260">
        <v>728.72088701297434</v>
      </c>
      <c r="Z136" s="256">
        <v>2523.6564078007095</v>
      </c>
      <c r="AA136" s="256">
        <v>736.64712690402041</v>
      </c>
      <c r="AB136" s="261">
        <v>2529.7535154092066</v>
      </c>
      <c r="AE136" s="260">
        <v>1186.2530281050817</v>
      </c>
      <c r="AF136" s="256">
        <v>1928.8646243809708</v>
      </c>
      <c r="AG136" s="256">
        <v>1194.1792679961277</v>
      </c>
      <c r="AH136" s="261">
        <v>1934.9617319894678</v>
      </c>
      <c r="AK136" s="260"/>
      <c r="AN136" s="261"/>
    </row>
    <row r="137" spans="3:40" x14ac:dyDescent="0.25">
      <c r="C137" s="403"/>
      <c r="D137" s="256" cm="1">
        <f t="array" ref="D137:E137">N122:O122</f>
        <v>2908.7597098406645</v>
      </c>
      <c r="E137" s="256">
        <v>3552.9830251554586</v>
      </c>
      <c r="F137" s="256" cm="1">
        <f t="array" ref="F137:G137">N126:O126</f>
        <v>2289.3294458465184</v>
      </c>
      <c r="G137" s="256">
        <v>2661.0034450038884</v>
      </c>
      <c r="H137" s="256" t="s">
        <v>7</v>
      </c>
      <c r="I137" s="261">
        <v>1</v>
      </c>
      <c r="M137" s="260"/>
      <c r="N137" s="283" t="s">
        <v>83</v>
      </c>
      <c r="O137" s="283" t="s">
        <v>84</v>
      </c>
      <c r="U137" s="260"/>
      <c r="Y137" s="260">
        <v>736.64712690402041</v>
      </c>
      <c r="Z137" s="256">
        <v>2529.7535154092066</v>
      </c>
      <c r="AA137" s="256">
        <v>675.67605081905117</v>
      </c>
      <c r="AB137" s="261">
        <v>2609.0159143196665</v>
      </c>
      <c r="AE137" s="260">
        <v>1194.1792679961277</v>
      </c>
      <c r="AF137" s="256">
        <v>1934.9617319894678</v>
      </c>
      <c r="AG137" s="256">
        <v>1133.2081919111583</v>
      </c>
      <c r="AH137" s="261">
        <v>2014.2241308999278</v>
      </c>
      <c r="AK137" s="260"/>
      <c r="AN137" s="261"/>
    </row>
    <row r="138" spans="3:40" ht="15.75" thickBot="1" x14ac:dyDescent="0.3">
      <c r="C138" s="403"/>
      <c r="D138" s="256" cm="1">
        <f t="array" ref="D138:E138">N118:O118</f>
        <v>2903.0101200809513</v>
      </c>
      <c r="E138" s="256">
        <v>3556.9757958219261</v>
      </c>
      <c r="F138" s="256" cm="1">
        <f t="array" ref="F138:G138">N127:O127</f>
        <v>2283.5798560868056</v>
      </c>
      <c r="G138" s="256">
        <v>2664.996215670355</v>
      </c>
      <c r="H138" s="256" t="s">
        <v>7</v>
      </c>
      <c r="I138" s="261">
        <v>1</v>
      </c>
      <c r="M138" s="260" t="s">
        <v>174</v>
      </c>
      <c r="N138" s="256">
        <f>(O136-O131)/(N131-N136)</f>
        <v>3068.079491030489</v>
      </c>
      <c r="O138" s="256">
        <f>N138*N136+O136</f>
        <v>3561.9655329160964</v>
      </c>
      <c r="U138" s="260"/>
      <c r="Y138" s="263">
        <v>628.88074992383724</v>
      </c>
      <c r="Z138" s="264">
        <v>2509.9379156815917</v>
      </c>
      <c r="AA138" s="264">
        <v>731.92186850743531</v>
      </c>
      <c r="AB138" s="265">
        <v>2589.2003145920517</v>
      </c>
      <c r="AE138" s="263">
        <v>1086.4128910159445</v>
      </c>
      <c r="AF138" s="264">
        <v>1915.1461322618527</v>
      </c>
      <c r="AG138" s="264">
        <v>1189.4540095995426</v>
      </c>
      <c r="AH138" s="265">
        <v>1994.4085311723127</v>
      </c>
      <c r="AK138" s="263"/>
      <c r="AL138" s="264"/>
      <c r="AM138" s="264"/>
      <c r="AN138" s="265"/>
    </row>
    <row r="139" spans="3:40" ht="15.75" thickBot="1" x14ac:dyDescent="0.3">
      <c r="C139" s="391" t="s">
        <v>255</v>
      </c>
      <c r="D139" s="258" cm="1">
        <f t="array" ref="D139:E139">N134:O134</f>
        <v>3078.593026591107</v>
      </c>
      <c r="E139" s="258">
        <v>3569.2665992776369</v>
      </c>
      <c r="F139" s="258" cm="1">
        <f t="array" ref="F139:G139">N138:O138</f>
        <v>3068.079491030489</v>
      </c>
      <c r="G139" s="258">
        <v>3561.9655329160964</v>
      </c>
      <c r="H139" s="258" t="s">
        <v>7</v>
      </c>
      <c r="I139" s="259">
        <v>1</v>
      </c>
      <c r="M139" s="260"/>
      <c r="N139" s="283" t="s">
        <v>170</v>
      </c>
      <c r="O139" s="283" t="s">
        <v>67</v>
      </c>
      <c r="U139" s="260"/>
      <c r="AN139" s="261"/>
    </row>
    <row r="140" spans="3:40" x14ac:dyDescent="0.25">
      <c r="C140" s="399"/>
      <c r="D140" s="256" cm="1">
        <f t="array" ref="D140:E140">N138:O138</f>
        <v>3068.079491030489</v>
      </c>
      <c r="E140" s="256">
        <v>3561.9655329160964</v>
      </c>
      <c r="F140" s="256" cm="1">
        <f t="array" ref="F140:G140">N147:O147</f>
        <v>3065.7947365009736</v>
      </c>
      <c r="G140" s="256">
        <v>3508.803551804509</v>
      </c>
      <c r="H140" s="256" t="s">
        <v>7</v>
      </c>
      <c r="I140" s="261">
        <v>1</v>
      </c>
      <c r="M140" s="260" t="s">
        <v>224</v>
      </c>
      <c r="N140" s="256">
        <f>N131</f>
        <v>-1.4399999999999997</v>
      </c>
      <c r="O140" s="256">
        <f>O134-N134*N140</f>
        <v>8002.4405575688306</v>
      </c>
      <c r="U140" s="391" t="s">
        <v>328</v>
      </c>
      <c r="V140" s="392"/>
      <c r="W140" s="392"/>
      <c r="X140" s="392"/>
      <c r="Y140" s="392"/>
      <c r="Z140" s="392"/>
      <c r="AA140" s="392"/>
      <c r="AB140" s="392"/>
      <c r="AC140" s="392"/>
      <c r="AD140" s="392"/>
      <c r="AE140" s="392"/>
      <c r="AF140" s="392"/>
      <c r="AG140" s="392"/>
      <c r="AH140" s="392"/>
      <c r="AI140" s="392"/>
      <c r="AJ140" s="392"/>
      <c r="AK140" s="392"/>
      <c r="AL140" s="392"/>
      <c r="AM140" s="392"/>
      <c r="AN140" s="393"/>
    </row>
    <row r="141" spans="3:40" x14ac:dyDescent="0.25">
      <c r="C141" s="399"/>
      <c r="D141" s="256" cm="1">
        <f t="array" ref="D141:E141">N147:O147</f>
        <v>3065.7947365009736</v>
      </c>
      <c r="E141" s="256">
        <v>3508.803551804509</v>
      </c>
      <c r="F141" s="256" cm="1">
        <f t="array" ref="F141:G141">N150:O150</f>
        <v>3360.0000000000005</v>
      </c>
      <c r="G141" s="256">
        <v>3085.1479723659104</v>
      </c>
      <c r="H141" s="256" t="s">
        <v>7</v>
      </c>
      <c r="I141" s="261">
        <v>1</v>
      </c>
      <c r="M141" s="260" t="s">
        <v>258</v>
      </c>
      <c r="N141" s="256">
        <f>N140</f>
        <v>-1.4399999999999997</v>
      </c>
      <c r="O141" s="256">
        <f>O131+(Parametry!J35-Parametry!G35)/COS('Obliczenia i dane'!S131)</f>
        <v>7993.6747147685055</v>
      </c>
      <c r="U141" s="260"/>
      <c r="X141" s="256" t="s">
        <v>272</v>
      </c>
      <c r="Y141" s="256">
        <f>SQRT(POWER(N79-N206,2)+POWER(O79-O206,2))</f>
        <v>28.252610498854789</v>
      </c>
      <c r="AA141" s="256" t="s">
        <v>302</v>
      </c>
      <c r="AB141" s="256">
        <f>AR70</f>
        <v>0.96380866274848864</v>
      </c>
      <c r="AN141" s="261"/>
    </row>
    <row r="142" spans="3:40" x14ac:dyDescent="0.25">
      <c r="C142" s="399"/>
      <c r="D142" s="256" cm="1">
        <f t="array" ref="D142:E142">N146:O146</f>
        <v>3074.4861767627408</v>
      </c>
      <c r="E142" s="256">
        <v>3566.4146202301599</v>
      </c>
      <c r="F142" s="256" cm="1">
        <f t="array" ref="F142:G142">N149:O149</f>
        <v>3360.0000000000005</v>
      </c>
      <c r="G142" s="256">
        <v>3155.2747147685059</v>
      </c>
      <c r="H142" s="256" t="s">
        <v>7</v>
      </c>
      <c r="I142" s="261">
        <v>1</v>
      </c>
      <c r="M142" s="260" t="s">
        <v>261</v>
      </c>
      <c r="N142" s="256">
        <f>N141</f>
        <v>-1.4399999999999997</v>
      </c>
      <c r="O142" s="256">
        <f>O131-(Parametry!F35-Parametry!J35)/COS('Obliczenia i dane'!S131)</f>
        <v>7923.54797236591</v>
      </c>
      <c r="U142" s="260"/>
      <c r="V142" s="362" t="s">
        <v>301</v>
      </c>
      <c r="W142" s="362"/>
      <c r="X142" s="362"/>
      <c r="Y142" s="362"/>
      <c r="AA142" s="362" t="s">
        <v>88</v>
      </c>
      <c r="AB142" s="362"/>
      <c r="AC142" s="362"/>
      <c r="AD142" s="362"/>
      <c r="AN142" s="261"/>
    </row>
    <row r="143" spans="3:40" ht="15.75" thickBot="1" x14ac:dyDescent="0.3">
      <c r="C143" s="399"/>
      <c r="D143" s="256" cm="1">
        <f t="array" ref="D143:E143">N134:O134</f>
        <v>3078.593026591107</v>
      </c>
      <c r="E143" s="256">
        <v>3569.2665992776369</v>
      </c>
      <c r="F143" s="256" cm="1">
        <f t="array" ref="F143:G143">N148:O148</f>
        <v>3360.0000000000005</v>
      </c>
      <c r="G143" s="256">
        <v>3164.040557568831</v>
      </c>
      <c r="H143" s="256" t="s">
        <v>7</v>
      </c>
      <c r="I143" s="261">
        <v>1</v>
      </c>
      <c r="M143" s="260" t="s">
        <v>263</v>
      </c>
      <c r="N143" s="256">
        <f>N136</f>
        <v>0.69444444444444453</v>
      </c>
      <c r="O143" s="256">
        <f>O136-(Parametry!U35-Parametry!U37)/SIN('Obliczenia i dane'!S131)</f>
        <v>1379.7794292343885</v>
      </c>
      <c r="U143" s="260"/>
      <c r="V143" s="256">
        <f>-Parametry!O37/2</f>
        <v>-50</v>
      </c>
      <c r="W143" s="256">
        <f>Parametry!O39</f>
        <v>10</v>
      </c>
      <c r="X143" s="256">
        <f>V143</f>
        <v>-50</v>
      </c>
      <c r="Y143" s="256">
        <f>0</f>
        <v>0</v>
      </c>
      <c r="AA143" s="256">
        <f>V143*COS($AB$141)-W143*SIN($AB$141)</f>
        <v>-36.733490131500176</v>
      </c>
      <c r="AB143" s="256">
        <f>V143*SIN($AB$141)+W143*COS($AB$141)</f>
        <v>-35.364540188711338</v>
      </c>
      <c r="AC143" s="256">
        <f>X143*COS($AB$141)-Y143*SIN($AB$141)</f>
        <v>-28.519790474767216</v>
      </c>
      <c r="AD143" s="256">
        <f>X143*SIN($AB$141)+Y143*COS($AB$141)</f>
        <v>-41.068498283664781</v>
      </c>
      <c r="AN143" s="261"/>
    </row>
    <row r="144" spans="3:40" x14ac:dyDescent="0.25">
      <c r="C144" s="391" t="s">
        <v>273</v>
      </c>
      <c r="D144" s="258" cm="1">
        <f t="array" ref="D144:E144">D79:E79</f>
        <v>-160</v>
      </c>
      <c r="E144" s="258">
        <v>3362.614027537873</v>
      </c>
      <c r="F144" s="258" cm="1">
        <f t="array" ref="F144:G144">D27:E27</f>
        <v>-160</v>
      </c>
      <c r="G144" s="258">
        <v>3096</v>
      </c>
      <c r="H144" s="258" t="s">
        <v>5</v>
      </c>
      <c r="I144" s="259">
        <v>1</v>
      </c>
      <c r="M144" s="260" t="s">
        <v>264</v>
      </c>
      <c r="N144" s="256">
        <f>D5</f>
        <v>3360.0000000000005</v>
      </c>
      <c r="O144" s="311" t="s">
        <v>265</v>
      </c>
      <c r="U144" s="260"/>
      <c r="V144" s="256" cm="1">
        <f t="array" ref="V144:W144">X143:Y143</f>
        <v>-50</v>
      </c>
      <c r="W144" s="256">
        <v>0</v>
      </c>
      <c r="X144" s="256">
        <f>V144</f>
        <v>-50</v>
      </c>
      <c r="Y144" s="256">
        <f>-Parametry!F34</f>
        <v>-75</v>
      </c>
      <c r="AA144" s="256">
        <f t="shared" ref="AA144:AA151" si="41">V144*COS($AB$141)-W144*SIN($AB$141)</f>
        <v>-28.519790474767216</v>
      </c>
      <c r="AB144" s="256">
        <f t="shared" ref="AB144:AB151" si="42">V144*SIN($AB$141)+W144*COS($AB$141)</f>
        <v>-41.068498283664781</v>
      </c>
      <c r="AC144" s="256">
        <f t="shared" ref="AC144:AC151" si="43">X144*COS($AB$141)-Y144*SIN($AB$141)</f>
        <v>33.082956950729965</v>
      </c>
      <c r="AD144" s="256">
        <f t="shared" ref="AD144:AD151" si="44">X144*SIN($AB$141)+Y144*COS($AB$141)</f>
        <v>-83.848183995815603</v>
      </c>
      <c r="AN144" s="261"/>
    </row>
    <row r="145" spans="3:40" x14ac:dyDescent="0.25">
      <c r="C145" s="399"/>
      <c r="D145" s="256" cm="1">
        <f t="array" ref="D145:E145">F27:G27</f>
        <v>160</v>
      </c>
      <c r="E145" s="256">
        <v>3096</v>
      </c>
      <c r="F145" s="256" cm="1">
        <f t="array" ref="F145:G145">N47:O47</f>
        <v>205.03512836867566</v>
      </c>
      <c r="G145" s="256">
        <v>3130.6424064374432</v>
      </c>
      <c r="H145" s="256" t="s">
        <v>5</v>
      </c>
      <c r="I145" s="261">
        <v>1</v>
      </c>
      <c r="M145" s="260"/>
      <c r="N145" s="283" t="s">
        <v>83</v>
      </c>
      <c r="O145" s="283" t="s">
        <v>84</v>
      </c>
      <c r="U145" s="260"/>
      <c r="V145" s="256" cm="1">
        <f t="array" ref="V145:W145">X144:Y144</f>
        <v>-50</v>
      </c>
      <c r="W145" s="256">
        <v>-75</v>
      </c>
      <c r="X145" s="256">
        <f>V145</f>
        <v>-50</v>
      </c>
      <c r="Y145" s="256">
        <f>W145-Parametry!O39</f>
        <v>-85</v>
      </c>
      <c r="AA145" s="256">
        <f t="shared" si="41"/>
        <v>33.082956950729965</v>
      </c>
      <c r="AB145" s="256">
        <f t="shared" si="42"/>
        <v>-83.848183995815603</v>
      </c>
      <c r="AC145" s="256">
        <f t="shared" si="43"/>
        <v>41.296656607462907</v>
      </c>
      <c r="AD145" s="256">
        <f t="shared" si="44"/>
        <v>-89.552142090769053</v>
      </c>
      <c r="AN145" s="261"/>
    </row>
    <row r="146" spans="3:40" x14ac:dyDescent="0.25">
      <c r="C146" s="399"/>
      <c r="D146" s="256" cm="1">
        <f t="array" ref="D146:E146">N47:O47</f>
        <v>205.03512836867566</v>
      </c>
      <c r="E146" s="256">
        <v>3130.6424064374432</v>
      </c>
      <c r="F146" s="256" cm="1">
        <f t="array" ref="F146:G146">N46:O46</f>
        <v>240.70320787838256</v>
      </c>
      <c r="G146" s="256">
        <v>3158.079390675679</v>
      </c>
      <c r="H146" s="256" t="s">
        <v>274</v>
      </c>
      <c r="I146" s="261">
        <v>2</v>
      </c>
      <c r="M146" s="260" t="s">
        <v>180</v>
      </c>
      <c r="N146" s="256">
        <f>(O141-O136)/(N136-N141)</f>
        <v>3074.4861767627408</v>
      </c>
      <c r="O146" s="256">
        <f>N146*N141+O141</f>
        <v>3566.4146202301599</v>
      </c>
      <c r="U146" s="260"/>
      <c r="V146" s="256" cm="1">
        <f t="array" ref="V146:W146">X145:Y145</f>
        <v>-50</v>
      </c>
      <c r="W146" s="256">
        <v>-85</v>
      </c>
      <c r="X146" s="256">
        <f>Parametry!O37/2</f>
        <v>50</v>
      </c>
      <c r="Y146" s="256">
        <f>W146</f>
        <v>-85</v>
      </c>
      <c r="AA146" s="256">
        <f t="shared" si="41"/>
        <v>41.296656607462907</v>
      </c>
      <c r="AB146" s="256">
        <f t="shared" si="42"/>
        <v>-89.552142090769053</v>
      </c>
      <c r="AC146" s="256">
        <f t="shared" si="43"/>
        <v>98.336237556997347</v>
      </c>
      <c r="AD146" s="256">
        <f t="shared" si="44"/>
        <v>-7.4151455234394845</v>
      </c>
      <c r="AN146" s="261"/>
    </row>
    <row r="147" spans="3:40" x14ac:dyDescent="0.25">
      <c r="C147" s="399"/>
      <c r="D147" s="256" cm="1">
        <f t="array" ref="D147:E147">_xlfn.ANCHORARRAY(F146)</f>
        <v>240.70320787838256</v>
      </c>
      <c r="E147" s="256">
        <v>3158.079390675679</v>
      </c>
      <c r="F147" s="256" cm="1">
        <f t="array" ref="F147:G147">N155:O155</f>
        <v>276.37128738808957</v>
      </c>
      <c r="G147" s="256">
        <v>3185.5163749139151</v>
      </c>
      <c r="H147" s="256" t="s">
        <v>5</v>
      </c>
      <c r="I147" s="261">
        <v>1</v>
      </c>
      <c r="M147" s="260" t="s">
        <v>181</v>
      </c>
      <c r="N147" s="256">
        <f>(O143-O142)/(N142-N143)</f>
        <v>3065.7947365009736</v>
      </c>
      <c r="O147" s="256">
        <f>N147*N143+O143</f>
        <v>3508.803551804509</v>
      </c>
      <c r="U147" s="260"/>
      <c r="V147" s="256" cm="1">
        <f t="array" ref="V147:W147">X146:Y146</f>
        <v>50</v>
      </c>
      <c r="W147" s="256">
        <v>-85</v>
      </c>
      <c r="X147" s="256">
        <f>V147</f>
        <v>50</v>
      </c>
      <c r="Y147" s="256">
        <f>W145</f>
        <v>-75</v>
      </c>
      <c r="AA147" s="256">
        <f t="shared" si="41"/>
        <v>98.336237556997347</v>
      </c>
      <c r="AB147" s="256">
        <f t="shared" si="42"/>
        <v>-7.4151455234394845</v>
      </c>
      <c r="AC147" s="256">
        <f t="shared" si="43"/>
        <v>90.12253790026439</v>
      </c>
      <c r="AD147" s="256">
        <f t="shared" si="44"/>
        <v>-1.711187428486042</v>
      </c>
      <c r="AN147" s="261"/>
    </row>
    <row r="148" spans="3:40" ht="15.75" thickBot="1" x14ac:dyDescent="0.3">
      <c r="C148" s="399"/>
      <c r="D148" s="256" cm="1">
        <f t="array" ref="D148:E148">N155:O155</f>
        <v>276.37128738808957</v>
      </c>
      <c r="E148" s="256">
        <v>3185.5163749139151</v>
      </c>
      <c r="F148" s="256" cm="1">
        <f t="array" ref="F148:G148">N156:O156</f>
        <v>276.37128738808957</v>
      </c>
      <c r="G148" s="256">
        <v>3393.1600176550392</v>
      </c>
      <c r="H148" s="256" t="s">
        <v>5</v>
      </c>
      <c r="I148" s="261">
        <v>1</v>
      </c>
      <c r="M148" s="260" t="s">
        <v>183</v>
      </c>
      <c r="N148" s="256">
        <f>N144</f>
        <v>3360.0000000000005</v>
      </c>
      <c r="O148" s="256">
        <f>N148*N140+O140</f>
        <v>3164.040557568831</v>
      </c>
      <c r="U148" s="260"/>
      <c r="V148" s="256" cm="1">
        <f t="array" ref="V148:W148">X147:Y147</f>
        <v>50</v>
      </c>
      <c r="W148" s="256">
        <v>-75</v>
      </c>
      <c r="X148" s="256">
        <f>V148</f>
        <v>50</v>
      </c>
      <c r="Y148" s="256">
        <f>Y143</f>
        <v>0</v>
      </c>
      <c r="AA148" s="256">
        <f t="shared" si="41"/>
        <v>90.12253790026439</v>
      </c>
      <c r="AB148" s="256">
        <f t="shared" si="42"/>
        <v>-1.711187428486042</v>
      </c>
      <c r="AC148" s="256">
        <f t="shared" si="43"/>
        <v>28.519790474767216</v>
      </c>
      <c r="AD148" s="256">
        <f t="shared" si="44"/>
        <v>41.068498283664781</v>
      </c>
      <c r="AN148" s="261"/>
    </row>
    <row r="149" spans="3:40" x14ac:dyDescent="0.25">
      <c r="C149" s="391" t="s">
        <v>283</v>
      </c>
      <c r="D149" s="258" cm="1">
        <f t="array" ref="D149:E149">N162:O162</f>
        <v>-6</v>
      </c>
      <c r="E149" s="258">
        <v>3096</v>
      </c>
      <c r="F149" s="258" cm="1">
        <f t="array" ref="F149:G149">N165:O165</f>
        <v>-6</v>
      </c>
      <c r="G149" s="258">
        <v>3373.3940275378727</v>
      </c>
      <c r="H149" s="258" t="s">
        <v>5</v>
      </c>
      <c r="I149" s="259">
        <v>1</v>
      </c>
      <c r="M149" s="260" t="s">
        <v>186</v>
      </c>
      <c r="N149" s="256">
        <f>N148</f>
        <v>3360.0000000000005</v>
      </c>
      <c r="O149" s="256">
        <f>N149*N141+O141</f>
        <v>3155.2747147685059</v>
      </c>
      <c r="U149" s="260"/>
      <c r="V149" s="256" cm="1">
        <f t="array" ref="V149:W149">X148:Y148</f>
        <v>50</v>
      </c>
      <c r="W149" s="256">
        <v>0</v>
      </c>
      <c r="X149" s="256">
        <f>V149</f>
        <v>50</v>
      </c>
      <c r="Y149" s="256">
        <f>W143</f>
        <v>10</v>
      </c>
      <c r="AA149" s="256">
        <f t="shared" si="41"/>
        <v>28.519790474767216</v>
      </c>
      <c r="AB149" s="256">
        <f t="shared" si="42"/>
        <v>41.068498283664781</v>
      </c>
      <c r="AC149" s="256">
        <f t="shared" si="43"/>
        <v>20.30609081803426</v>
      </c>
      <c r="AD149" s="256">
        <f t="shared" si="44"/>
        <v>46.772456378618223</v>
      </c>
      <c r="AN149" s="261"/>
    </row>
    <row r="150" spans="3:40" ht="15.75" thickBot="1" x14ac:dyDescent="0.3">
      <c r="C150" s="399"/>
      <c r="D150" s="256" cm="1">
        <f t="array" ref="D150:E150">N163:O163</f>
        <v>6</v>
      </c>
      <c r="E150" s="256">
        <v>3096</v>
      </c>
      <c r="F150" s="256" cm="1">
        <f t="array" ref="F150:G150">N164:O164</f>
        <v>6</v>
      </c>
      <c r="G150" s="256">
        <v>3374.2340275378729</v>
      </c>
      <c r="H150" s="256" t="s">
        <v>5</v>
      </c>
      <c r="I150" s="261">
        <v>1</v>
      </c>
      <c r="M150" s="263" t="s">
        <v>193</v>
      </c>
      <c r="N150" s="264">
        <f>N149</f>
        <v>3360.0000000000005</v>
      </c>
      <c r="O150" s="264">
        <f>N150*N142+O142</f>
        <v>3085.1479723659104</v>
      </c>
      <c r="P150" s="264"/>
      <c r="Q150" s="264"/>
      <c r="R150" s="264"/>
      <c r="S150" s="264"/>
      <c r="T150" s="264"/>
      <c r="U150" s="260"/>
      <c r="V150" s="256" cm="1">
        <f t="array" ref="V150:W150">X149:Y149</f>
        <v>50</v>
      </c>
      <c r="W150" s="256">
        <v>10</v>
      </c>
      <c r="X150" s="256" cm="1">
        <f t="array" ref="X150:Y150">V143:W143</f>
        <v>-50</v>
      </c>
      <c r="Y150" s="256">
        <v>10</v>
      </c>
      <c r="AA150" s="256">
        <f t="shared" si="41"/>
        <v>20.30609081803426</v>
      </c>
      <c r="AB150" s="256">
        <f t="shared" si="42"/>
        <v>46.772456378618223</v>
      </c>
      <c r="AC150" s="256">
        <f t="shared" si="43"/>
        <v>-36.733490131500176</v>
      </c>
      <c r="AD150" s="256">
        <f t="shared" si="44"/>
        <v>-35.364540188711338</v>
      </c>
      <c r="AN150" s="261"/>
    </row>
    <row r="151" spans="3:40" ht="15.75" thickBot="1" x14ac:dyDescent="0.3">
      <c r="C151" s="399"/>
      <c r="D151" s="256" cm="1">
        <f t="array" ref="D151:E151">N166:O166</f>
        <v>6</v>
      </c>
      <c r="E151" s="256">
        <v>3383.2560505925985</v>
      </c>
      <c r="F151" s="256" cm="1">
        <f t="array" ref="F151:G151">N168:O168</f>
        <v>6</v>
      </c>
      <c r="G151" s="256">
        <v>3517.5839494074016</v>
      </c>
      <c r="H151" s="256" t="s">
        <v>5</v>
      </c>
      <c r="I151" s="261">
        <v>1</v>
      </c>
      <c r="U151" s="260"/>
      <c r="V151" s="256">
        <f>0</f>
        <v>0</v>
      </c>
      <c r="W151" s="256">
        <f>-(Parametry!F34+2*Parametry!O39)*Parametry!O41-Parametry!O39-Parametry!F34</f>
        <v>-132.5</v>
      </c>
      <c r="X151" s="256">
        <f>0</f>
        <v>0</v>
      </c>
      <c r="Y151" s="256">
        <f>(Parametry!F34+2*Parametry!O39)*Parametry!O41+Parametry!O39</f>
        <v>57.5</v>
      </c>
      <c r="AA151" s="256">
        <f t="shared" si="41"/>
        <v>108.83152045171168</v>
      </c>
      <c r="AB151" s="256">
        <f t="shared" si="42"/>
        <v>-75.577444758133126</v>
      </c>
      <c r="AC151" s="256">
        <f t="shared" si="43"/>
        <v>-47.228773026214505</v>
      </c>
      <c r="AD151" s="256">
        <f t="shared" si="44"/>
        <v>32.797759045982296</v>
      </c>
      <c r="AN151" s="261"/>
    </row>
    <row r="152" spans="3:40" ht="15.75" thickBot="1" x14ac:dyDescent="0.3">
      <c r="C152" s="399"/>
      <c r="D152" s="256" cm="1">
        <f t="array" ref="D152:E152">N167:O167</f>
        <v>-6</v>
      </c>
      <c r="E152" s="256">
        <v>3382.4160505925984</v>
      </c>
      <c r="F152" s="256" cm="1">
        <f t="array" ref="F152:G152">N169:O169</f>
        <v>-6</v>
      </c>
      <c r="G152" s="256">
        <v>3516.7439494074015</v>
      </c>
      <c r="H152" s="256" t="s">
        <v>5</v>
      </c>
      <c r="I152" s="261">
        <v>1</v>
      </c>
      <c r="M152" s="394" t="s">
        <v>5</v>
      </c>
      <c r="N152" s="395"/>
      <c r="O152" s="395"/>
      <c r="P152" s="395"/>
      <c r="Q152" s="395"/>
      <c r="R152" s="395"/>
      <c r="S152" s="395"/>
      <c r="T152" s="395"/>
      <c r="U152" s="260"/>
      <c r="AN152" s="261"/>
    </row>
    <row r="153" spans="3:40" ht="15.75" thickBot="1" x14ac:dyDescent="0.3">
      <c r="C153" s="402" t="s">
        <v>293</v>
      </c>
      <c r="D153" s="258" cm="1">
        <f t="array" ref="D153:E153">N176:O176</f>
        <v>1348.8654810989435</v>
      </c>
      <c r="E153" s="258">
        <v>1576</v>
      </c>
      <c r="F153" s="258" cm="1">
        <f t="array" ref="F153:G153">N172:O172</f>
        <v>1348.8654810989435</v>
      </c>
      <c r="G153" s="258">
        <v>1643.662947888095</v>
      </c>
      <c r="H153" s="258" t="s">
        <v>5</v>
      </c>
      <c r="I153" s="259">
        <v>1</v>
      </c>
      <c r="M153" s="391" t="s">
        <v>275</v>
      </c>
      <c r="N153" s="392"/>
      <c r="O153" s="392"/>
      <c r="P153" s="392"/>
      <c r="Q153" s="392"/>
      <c r="R153" s="392"/>
      <c r="S153" s="392"/>
      <c r="T153" s="392"/>
      <c r="U153" s="260">
        <v>1</v>
      </c>
      <c r="V153" s="256">
        <f>IF(OR(Parametry!K34=2, Parametry!K34=4, Parametry!K34=6),N175+(N181-N175)/(Parametry!K34+1),"-")</f>
        <v>1870.0332213159213</v>
      </c>
      <c r="W153" s="256">
        <f>IF(OR(Parametry!K34=2, Parametry!K34=4, Parametry!K34=6),O175+(O181-O175)/(Parametry!K34+1),"-")</f>
        <v>2069.4890616002831</v>
      </c>
      <c r="X153" s="315">
        <v>1</v>
      </c>
      <c r="Y153" s="257" cm="1">
        <f t="array" ref="Y153:Y161">V153+AA143:AA151</f>
        <v>1833.299731184421</v>
      </c>
      <c r="Z153" s="258" cm="1">
        <f t="array" ref="Z153:Z161">W153+AB143:AB151</f>
        <v>2034.1245214115718</v>
      </c>
      <c r="AA153" s="258" cm="1">
        <f t="array" ref="AA153:AA161">V153+AC143:AC151</f>
        <v>1841.5134308411541</v>
      </c>
      <c r="AB153" s="259" cm="1">
        <f t="array" ref="AB153:AB161">W153+AD143:AD151</f>
        <v>2028.4205633166184</v>
      </c>
      <c r="AD153" s="315">
        <v>3</v>
      </c>
      <c r="AE153" s="257" cm="1">
        <f t="array" ref="AE153:AE161">IF(OR(Parametry!K34=4, Parametry!K34=6),V155+AA143:AA151,"-")</f>
        <v>2308.2622057398908</v>
      </c>
      <c r="AF153" s="258" cm="1">
        <f t="array" ref="AF153:AF161">IF(OR(Parametry!K34=4, Parametry!K34=6),W155+AB143:AB151,"-")</f>
        <v>2718.0704847714469</v>
      </c>
      <c r="AG153" s="258" cm="1">
        <f t="array" ref="AG153:AG161">IF(OR(Parametry!K34=4, Parametry!K34=6),V155+AC143:AC151,"-")</f>
        <v>2316.4759053966236</v>
      </c>
      <c r="AH153" s="259" cm="1">
        <f t="array" ref="AH153:AH161">IF(OR(Parametry!K34=4, Parametry!K34=6),W155+AD143:AD151,"-")</f>
        <v>2712.3665266764938</v>
      </c>
      <c r="AJ153" s="277">
        <v>5</v>
      </c>
      <c r="AK153" s="257" t="str" cm="1">
        <f t="array" ref="AK153">IF(Parametry!K34=6,V157+AA143:AA151,"-")</f>
        <v>-</v>
      </c>
      <c r="AL153" s="258" t="str" cm="1">
        <f t="array" ref="AL153">IF(Parametry!K34=6,W157+AB143:AB151,"-")</f>
        <v>-</v>
      </c>
      <c r="AM153" s="258" t="str" cm="1">
        <f t="array" ref="AM153">IF(Parametry!K34=6,V157+AC143:AC151,"-")</f>
        <v>-</v>
      </c>
      <c r="AN153" s="259" t="str" cm="1">
        <f t="array" ref="AN153">IF(Parametry!K34=6,W157+AD143:AD151,"-")</f>
        <v>-</v>
      </c>
    </row>
    <row r="154" spans="3:40" ht="15.75" thickBot="1" x14ac:dyDescent="0.3">
      <c r="C154" s="403"/>
      <c r="D154" s="256" cm="1">
        <f t="array" ref="D154:E154">N172:O172</f>
        <v>1348.8654810989435</v>
      </c>
      <c r="E154" s="256">
        <v>1643.662947888095</v>
      </c>
      <c r="F154" s="256" cm="1">
        <f t="array" ref="F154:G154">N173:O173</f>
        <v>1384.5335606086505</v>
      </c>
      <c r="G154" s="256">
        <v>1671.0999321263312</v>
      </c>
      <c r="H154" s="256" t="s">
        <v>274</v>
      </c>
      <c r="I154" s="261">
        <v>2</v>
      </c>
      <c r="M154" s="260"/>
      <c r="N154" s="283" t="s">
        <v>83</v>
      </c>
      <c r="O154" s="283" t="s">
        <v>84</v>
      </c>
      <c r="U154" s="260">
        <v>2</v>
      </c>
      <c r="V154" s="256">
        <f>IF(OR(Parametry!K34=2, Parametry!K34=4, Parametry!K34=6),N175+2*(N181-N175)/(Parametry!K34+1),"-")</f>
        <v>2107.5144585936559</v>
      </c>
      <c r="W154" s="256">
        <f>IF(OR(Parametry!K34=2, Parametry!K34=4, Parametry!K34=6),O175+2*(O181-O175)/(Parametry!K34+1),"-")</f>
        <v>2411.4620432802208</v>
      </c>
      <c r="Y154" s="260">
        <v>1841.5134308411541</v>
      </c>
      <c r="Z154" s="256">
        <v>2028.4205633166184</v>
      </c>
      <c r="AA154" s="256">
        <v>1903.1161782666513</v>
      </c>
      <c r="AB154" s="261">
        <v>1985.6408776044675</v>
      </c>
      <c r="AE154" s="260">
        <v>2316.4759053966236</v>
      </c>
      <c r="AF154" s="256">
        <v>2712.3665266764938</v>
      </c>
      <c r="AG154" s="256">
        <v>2378.0786528221211</v>
      </c>
      <c r="AH154" s="261">
        <v>2669.5868409643426</v>
      </c>
      <c r="AK154" s="260"/>
      <c r="AN154" s="261"/>
    </row>
    <row r="155" spans="3:40" ht="30.75" thickBot="1" x14ac:dyDescent="0.3">
      <c r="C155" s="403"/>
      <c r="D155" s="256" cm="1">
        <f t="array" ref="D155:E155">N173:O173</f>
        <v>1384.5335606086505</v>
      </c>
      <c r="E155" s="256">
        <v>1671.0999321263312</v>
      </c>
      <c r="F155" s="256" cm="1">
        <f t="array" ref="F155:G155">N175:O175</f>
        <v>1632.5519840381867</v>
      </c>
      <c r="G155" s="256">
        <v>1727.5160799203452</v>
      </c>
      <c r="H155" s="256" t="s">
        <v>5</v>
      </c>
      <c r="I155" s="261">
        <v>1</v>
      </c>
      <c r="M155" s="260" t="s">
        <v>276</v>
      </c>
      <c r="N155" s="256">
        <f>N46+Parametry!M7*Parametry!F33*SIN('Obliczenia i dane'!S155)</f>
        <v>276.37128738808957</v>
      </c>
      <c r="O155" s="256">
        <f>O46+Parametry!F33*Parametry!M7*COS('Obliczenia i dane'!S155)</f>
        <v>3185.5163749139151</v>
      </c>
      <c r="R155" s="273" t="s">
        <v>277</v>
      </c>
      <c r="S155" s="320">
        <f>ATAN((E9-E10)/(D10-D9))</f>
        <v>0.91510070055336046</v>
      </c>
      <c r="T155" s="320">
        <f>DEGREES(S155)</f>
        <v>52.431407971172511</v>
      </c>
      <c r="U155" s="260">
        <v>3</v>
      </c>
      <c r="V155" s="256">
        <f>IF(OR(Parametry!K34=4, Parametry!K34=6),N175+3*(N181-N175)/(Parametry!K34+1),"-")</f>
        <v>2344.995695871391</v>
      </c>
      <c r="W155" s="256">
        <f>IF(OR(Parametry!K34=4, Parametry!K34=6),O175+3*(O181-O175)/(Parametry!K34+1),"-")</f>
        <v>2753.4350249601584</v>
      </c>
      <c r="Y155" s="260">
        <v>1903.1161782666513</v>
      </c>
      <c r="Z155" s="256">
        <v>1985.6408776044675</v>
      </c>
      <c r="AA155" s="256">
        <v>1911.3298779233842</v>
      </c>
      <c r="AB155" s="261">
        <v>1979.9369195095142</v>
      </c>
      <c r="AE155" s="260">
        <v>2378.0786528221211</v>
      </c>
      <c r="AF155" s="256">
        <v>2669.5868409643426</v>
      </c>
      <c r="AG155" s="256">
        <v>2386.2923524788539</v>
      </c>
      <c r="AH155" s="261">
        <v>2663.8828828693895</v>
      </c>
      <c r="AK155" s="260"/>
      <c r="AN155" s="261"/>
    </row>
    <row r="156" spans="3:40" ht="15.75" thickBot="1" x14ac:dyDescent="0.3">
      <c r="C156" s="403"/>
      <c r="D156" s="256" cm="1">
        <f t="array" ref="D156:E156">N175:O175</f>
        <v>1632.5519840381867</v>
      </c>
      <c r="E156" s="256">
        <v>1727.5160799203452</v>
      </c>
      <c r="F156" s="256" cm="1">
        <f t="array" ref="F156:G156">N174:O174</f>
        <v>1694.1547314636839</v>
      </c>
      <c r="G156" s="256">
        <v>1684.7363942081943</v>
      </c>
      <c r="H156" s="256" t="s">
        <v>274</v>
      </c>
      <c r="I156" s="261">
        <v>2</v>
      </c>
      <c r="M156" s="263" t="s">
        <v>278</v>
      </c>
      <c r="N156" s="264">
        <f>N155</f>
        <v>276.37128738808957</v>
      </c>
      <c r="O156" s="264">
        <f>N156*N22+O22</f>
        <v>3393.1600176550392</v>
      </c>
      <c r="P156" s="264"/>
      <c r="Q156" s="264"/>
      <c r="R156" s="264"/>
      <c r="S156" s="264"/>
      <c r="T156" s="264"/>
      <c r="U156" s="260">
        <v>4</v>
      </c>
      <c r="V156" s="256">
        <f>IF(OR(Parametry!K34=4, Parametry!K34=6),N175+4*(N181-N175)/(Parametry!K34+1),"-")</f>
        <v>2582.4769331491257</v>
      </c>
      <c r="W156" s="256">
        <f>IF(OR(Parametry!K34=4, Parametry!K34=6),O175+4*(O181-O175)/(Parametry!K34+1),"-")</f>
        <v>3095.4080066400961</v>
      </c>
      <c r="Y156" s="260">
        <v>1911.3298779233842</v>
      </c>
      <c r="Z156" s="256">
        <v>1979.9369195095142</v>
      </c>
      <c r="AA156" s="256">
        <v>1968.3694588729186</v>
      </c>
      <c r="AB156" s="261">
        <v>2062.0739160768435</v>
      </c>
      <c r="AE156" s="260">
        <v>2386.2923524788539</v>
      </c>
      <c r="AF156" s="256">
        <v>2663.8828828693895</v>
      </c>
      <c r="AG156" s="256">
        <v>2443.3319334283883</v>
      </c>
      <c r="AH156" s="261">
        <v>2746.0198794367188</v>
      </c>
      <c r="AK156" s="260"/>
      <c r="AN156" s="261"/>
    </row>
    <row r="157" spans="3:40" ht="15.75" thickBot="1" x14ac:dyDescent="0.3">
      <c r="C157" s="404"/>
      <c r="D157" s="264" cm="1">
        <f t="array" ref="D157:E157">N174:O174</f>
        <v>1694.1547314636839</v>
      </c>
      <c r="E157" s="264">
        <v>1684.7363942081943</v>
      </c>
      <c r="F157" s="264" cm="1">
        <f t="array" ref="F157:G157">N177:O177</f>
        <v>1694.1547314636839</v>
      </c>
      <c r="G157" s="264">
        <v>1576</v>
      </c>
      <c r="H157" s="264" t="s">
        <v>5</v>
      </c>
      <c r="I157" s="265">
        <v>1</v>
      </c>
      <c r="M157" s="391" t="s">
        <v>279</v>
      </c>
      <c r="N157" s="392"/>
      <c r="O157" s="392"/>
      <c r="P157" s="392"/>
      <c r="Q157" s="392"/>
      <c r="R157" s="392"/>
      <c r="S157" s="392"/>
      <c r="T157" s="392"/>
      <c r="U157" s="260">
        <v>5</v>
      </c>
      <c r="V157" s="256" t="str">
        <f>IF(Parametry!K34=6,N175+5*(N181-N175)/(Parametry!K34+1),"-")</f>
        <v>-</v>
      </c>
      <c r="W157" s="256" t="str">
        <f>IF(Parametry!K34=6,O175+5*(O181-O175)/(Parametry!K34+1),"-")</f>
        <v>-</v>
      </c>
      <c r="Y157" s="260">
        <v>1968.3694588729186</v>
      </c>
      <c r="Z157" s="256">
        <v>2062.0739160768435</v>
      </c>
      <c r="AA157" s="256">
        <v>1960.1557592161857</v>
      </c>
      <c r="AB157" s="261">
        <v>2067.7778741717971</v>
      </c>
      <c r="AE157" s="260">
        <v>2443.3319334283883</v>
      </c>
      <c r="AF157" s="256">
        <v>2746.0198794367188</v>
      </c>
      <c r="AG157" s="256">
        <v>2435.1182337716555</v>
      </c>
      <c r="AH157" s="261">
        <v>2751.7238375316724</v>
      </c>
      <c r="AK157" s="260"/>
      <c r="AN157" s="261"/>
    </row>
    <row r="158" spans="3:40" ht="15.75" thickBot="1" x14ac:dyDescent="0.3">
      <c r="C158" s="402" t="s">
        <v>294</v>
      </c>
      <c r="D158" s="258" cm="1">
        <f t="array" ref="D158:E158">N182:O182</f>
        <v>2810.6357425431497</v>
      </c>
      <c r="E158" s="258">
        <v>3570.5585295158921</v>
      </c>
      <c r="F158" s="258" cm="1">
        <f t="array" ref="F158:G158">N181:O181</f>
        <v>2819.9581704268603</v>
      </c>
      <c r="G158" s="258">
        <v>3437.3809883200338</v>
      </c>
      <c r="H158" s="258" t="s">
        <v>5</v>
      </c>
      <c r="I158" s="259">
        <v>1</v>
      </c>
      <c r="M158" s="260"/>
      <c r="N158" s="283" t="s">
        <v>170</v>
      </c>
      <c r="O158" s="283" t="s">
        <v>67</v>
      </c>
      <c r="U158" s="260">
        <v>6</v>
      </c>
      <c r="V158" s="256" t="str">
        <f>IF(Parametry!K34=6,N175+6*(N181-N175)/(Parametry!K34+1),"-")</f>
        <v>-</v>
      </c>
      <c r="W158" s="256" t="str">
        <f>IF(Parametry!K34=6,O175+6*(O181-O175)/(Parametry!K34+1),"-")</f>
        <v>-</v>
      </c>
      <c r="Y158" s="260">
        <v>1960.1557592161857</v>
      </c>
      <c r="Z158" s="256">
        <v>2067.7778741717971</v>
      </c>
      <c r="AA158" s="256">
        <v>1898.5530117906885</v>
      </c>
      <c r="AB158" s="261">
        <v>2110.5575598839478</v>
      </c>
      <c r="AE158" s="260">
        <v>2435.1182337716555</v>
      </c>
      <c r="AF158" s="256">
        <v>2751.7238375316724</v>
      </c>
      <c r="AG158" s="256">
        <v>2373.5154863461585</v>
      </c>
      <c r="AH158" s="261">
        <v>2794.5035232438231</v>
      </c>
      <c r="AK158" s="260"/>
      <c r="AN158" s="261"/>
    </row>
    <row r="159" spans="3:40" ht="30.75" thickBot="1" x14ac:dyDescent="0.3">
      <c r="C159" s="403"/>
      <c r="D159" s="256" cm="1">
        <f t="array" ref="D159:E159">N181:O181</f>
        <v>2819.9581704268603</v>
      </c>
      <c r="E159" s="256">
        <v>3437.3809883200338</v>
      </c>
      <c r="F159" s="256" cm="1">
        <f t="array" ref="F159:G159">N180:O180</f>
        <v>2881.5609178523573</v>
      </c>
      <c r="G159" s="256">
        <v>3394.6013026078831</v>
      </c>
      <c r="H159" s="256" t="s">
        <v>274</v>
      </c>
      <c r="I159" s="261">
        <v>2</v>
      </c>
      <c r="M159" s="300" t="s">
        <v>282</v>
      </c>
      <c r="N159" s="256">
        <f>N22</f>
        <v>6.999999999999966E-2</v>
      </c>
      <c r="O159" s="256">
        <f>O22+Parametry!I30/COS('Obliczenia i dane'!S159)</f>
        <v>3382.8360505925984</v>
      </c>
      <c r="R159" s="273" t="s">
        <v>277</v>
      </c>
      <c r="S159" s="320">
        <f>ATAN(N159)</f>
        <v>6.9886001634642161E-2</v>
      </c>
      <c r="T159" s="320">
        <f>DEGREES(S159)</f>
        <v>4.0041729407093678</v>
      </c>
      <c r="U159" s="260"/>
      <c r="Y159" s="260">
        <v>1898.5530117906885</v>
      </c>
      <c r="Z159" s="256">
        <v>2110.5575598839478</v>
      </c>
      <c r="AA159" s="256">
        <v>1890.3393121339557</v>
      </c>
      <c r="AB159" s="261">
        <v>2116.2615179789013</v>
      </c>
      <c r="AE159" s="260">
        <v>2373.5154863461585</v>
      </c>
      <c r="AF159" s="256">
        <v>2794.5035232438231</v>
      </c>
      <c r="AG159" s="256">
        <v>2365.3017866894252</v>
      </c>
      <c r="AH159" s="261">
        <v>2800.2074813387767</v>
      </c>
      <c r="AK159" s="260"/>
      <c r="AN159" s="261"/>
    </row>
    <row r="160" spans="3:40" ht="30" x14ac:dyDescent="0.25">
      <c r="C160" s="403"/>
      <c r="D160" s="256" cm="1">
        <f t="array" ref="D160:E160">N180:O180</f>
        <v>2881.5609178523573</v>
      </c>
      <c r="E160" s="256">
        <v>3394.6013026078831</v>
      </c>
      <c r="F160" s="256" cm="1">
        <f t="array" ref="F160:G160">N183:O183</f>
        <v>3091.462547928264</v>
      </c>
      <c r="G160" s="256">
        <v>3471.8419033492105</v>
      </c>
      <c r="H160" s="256" t="s">
        <v>5</v>
      </c>
      <c r="I160" s="261">
        <v>1</v>
      </c>
      <c r="M160" s="300" t="s">
        <v>280</v>
      </c>
      <c r="N160" s="256">
        <f>N159</f>
        <v>6.999999999999966E-2</v>
      </c>
      <c r="O160" s="256">
        <f>O22+(Parametry!F30-Parametry!I30)/COS('Obliczenia i dane'!S159)</f>
        <v>3517.1639494074016</v>
      </c>
      <c r="U160" s="260"/>
      <c r="Y160" s="260">
        <v>1890.3393121339557</v>
      </c>
      <c r="Z160" s="256">
        <v>2116.2615179789013</v>
      </c>
      <c r="AA160" s="256">
        <v>1833.299731184421</v>
      </c>
      <c r="AB160" s="261">
        <v>2034.1245214115718</v>
      </c>
      <c r="AE160" s="260">
        <v>2365.3017866894252</v>
      </c>
      <c r="AF160" s="256">
        <v>2800.2074813387767</v>
      </c>
      <c r="AG160" s="256">
        <v>2308.2622057398908</v>
      </c>
      <c r="AH160" s="261">
        <v>2718.0704847714469</v>
      </c>
      <c r="AK160" s="260"/>
      <c r="AN160" s="261"/>
    </row>
    <row r="161" spans="3:40" ht="15.75" thickBot="1" x14ac:dyDescent="0.3">
      <c r="C161" s="403"/>
      <c r="D161" s="256" cm="1">
        <f t="array" ref="D161:E161">N183:O183</f>
        <v>3091.462547928264</v>
      </c>
      <c r="E161" s="256">
        <v>3471.8419033492105</v>
      </c>
      <c r="F161" s="256" cm="1">
        <f t="array" ref="F161:G161">N184:O184</f>
        <v>3128.4241963835625</v>
      </c>
      <c r="G161" s="256">
        <v>3497.5097147765009</v>
      </c>
      <c r="H161" s="256" t="s">
        <v>274</v>
      </c>
      <c r="I161" s="261">
        <v>2</v>
      </c>
      <c r="M161" s="260"/>
      <c r="N161" s="283" t="s">
        <v>83</v>
      </c>
      <c r="O161" s="283" t="s">
        <v>84</v>
      </c>
      <c r="U161" s="260"/>
      <c r="Y161" s="263">
        <v>1978.8647417676329</v>
      </c>
      <c r="Z161" s="264">
        <v>1993.9116168421499</v>
      </c>
      <c r="AA161" s="264">
        <v>1822.8044482897069</v>
      </c>
      <c r="AB161" s="265">
        <v>2102.2868206462654</v>
      </c>
      <c r="AE161" s="263">
        <v>2453.8272163231027</v>
      </c>
      <c r="AF161" s="264">
        <v>2677.8575802020255</v>
      </c>
      <c r="AG161" s="264">
        <v>2297.7669228451764</v>
      </c>
      <c r="AH161" s="265">
        <v>2786.2327840061407</v>
      </c>
      <c r="AK161" s="263"/>
      <c r="AL161" s="264"/>
      <c r="AM161" s="264"/>
      <c r="AN161" s="265"/>
    </row>
    <row r="162" spans="3:40" ht="15.75" thickBot="1" x14ac:dyDescent="0.3">
      <c r="C162" s="403"/>
      <c r="D162" s="256" cm="1">
        <f t="array" ref="D162:E162">N184:O184</f>
        <v>3128.4241963835625</v>
      </c>
      <c r="E162" s="256">
        <v>3497.5097147765009</v>
      </c>
      <c r="F162" s="256" cm="1">
        <f t="array" ref="F162:G162">N185:O185</f>
        <v>3121.7861423925424</v>
      </c>
      <c r="G162" s="256">
        <v>3592.3390575053495</v>
      </c>
      <c r="H162" s="256" t="s">
        <v>5</v>
      </c>
      <c r="I162" s="261">
        <v>1</v>
      </c>
      <c r="M162" s="260" t="s">
        <v>173</v>
      </c>
      <c r="N162" s="256">
        <f>D6-Parametry!M6/2</f>
        <v>-6</v>
      </c>
      <c r="O162" s="256">
        <f>E27</f>
        <v>3096</v>
      </c>
      <c r="U162" s="260"/>
      <c r="AN162" s="261"/>
    </row>
    <row r="163" spans="3:40" ht="15.75" thickBot="1" x14ac:dyDescent="0.3">
      <c r="C163" s="391" t="s">
        <v>316</v>
      </c>
      <c r="D163" s="258" cm="1">
        <f t="array" ref="D163:G171">Y120:AB128</f>
        <v>446.90998027299759</v>
      </c>
      <c r="E163" s="258">
        <v>2906.4118060295364</v>
      </c>
      <c r="F163" s="258">
        <v>438.98374038195158</v>
      </c>
      <c r="G163" s="258">
        <v>2900.3146984210398</v>
      </c>
      <c r="H163" s="258" t="s">
        <v>11</v>
      </c>
      <c r="I163" s="259">
        <v>1</v>
      </c>
      <c r="J163" s="316">
        <f>Parametry!K33</f>
        <v>4</v>
      </c>
      <c r="M163" s="260" t="s">
        <v>174</v>
      </c>
      <c r="N163" s="256">
        <f>D6+Parametry!M6/2</f>
        <v>6</v>
      </c>
      <c r="O163" s="256">
        <f>O162</f>
        <v>3096</v>
      </c>
      <c r="U163" s="260"/>
      <c r="X163" s="315">
        <v>2</v>
      </c>
      <c r="Y163" s="257" cm="1">
        <f t="array" ref="Y163:Y171">V154+AA143:AA151</f>
        <v>2070.7809684621557</v>
      </c>
      <c r="Z163" s="258" cm="1">
        <f t="array" ref="Z163:Z171">W154+AB143:AB151</f>
        <v>2376.0975030915092</v>
      </c>
      <c r="AA163" s="258" cm="1">
        <f t="array" ref="AA163:AA171">V154+AC143:AC151</f>
        <v>2078.9946681188885</v>
      </c>
      <c r="AB163" s="259" cm="1">
        <f t="array" ref="AB163:AB171">W154+AD143:AD151</f>
        <v>2370.3935449965561</v>
      </c>
      <c r="AD163" s="277">
        <v>4</v>
      </c>
      <c r="AE163" s="257" cm="1">
        <f t="array" ref="AE163:AE171">IF(OR(Parametry!K34=4, Parametry!K34=6),V156+AA143:AA151,"-")</f>
        <v>2545.7434430176254</v>
      </c>
      <c r="AF163" s="258" cm="1">
        <f t="array" ref="AF163:AF171">IF(OR(Parametry!K34=4, Parametry!K34=6),W156+AB143:AB151,"-")</f>
        <v>3060.0434664513846</v>
      </c>
      <c r="AG163" s="258" cm="1">
        <f t="array" ref="AG163:AG171">IF(OR(Parametry!K34=4, Parametry!K34=6),V156+AC143:AC151,"-")</f>
        <v>2553.9571426743582</v>
      </c>
      <c r="AH163" s="259" cm="1">
        <f t="array" ref="AH163:AH171">IF(OR(Parametry!K34=4, Parametry!K34=6),W156+AD143:AD151,"-")</f>
        <v>3054.3395083564315</v>
      </c>
      <c r="AJ163" s="277">
        <v>6</v>
      </c>
      <c r="AK163" s="257" t="str" cm="1">
        <f t="array" ref="AK163">IF(Parametry!K34=6,V158+AA143:AA151,"-")</f>
        <v>-</v>
      </c>
      <c r="AL163" s="258" t="str" cm="1">
        <f t="array" ref="AL163">IF(Parametry!K34=6,W158+AB143:AB151,"-")</f>
        <v>-</v>
      </c>
      <c r="AM163" s="258" t="str" cm="1">
        <f t="array" ref="AM163">IF(Parametry!K34=6,V158+AC143:AC151,"-")</f>
        <v>-</v>
      </c>
      <c r="AN163" s="259" t="str" cm="1">
        <f t="array" ref="AN163">IF(Parametry!K34=6,W158+AD143:AD151,"-")</f>
        <v>-</v>
      </c>
    </row>
    <row r="164" spans="3:40" x14ac:dyDescent="0.25">
      <c r="C164" s="399"/>
      <c r="D164" s="256">
        <v>438.98374038195158</v>
      </c>
      <c r="E164" s="256">
        <v>2900.3146984210398</v>
      </c>
      <c r="F164" s="256">
        <v>403.31566087224456</v>
      </c>
      <c r="G164" s="256">
        <v>2872.8777141828036</v>
      </c>
      <c r="H164" s="256" t="s">
        <v>12</v>
      </c>
      <c r="I164" s="261">
        <v>2</v>
      </c>
      <c r="M164" s="260" t="s">
        <v>180</v>
      </c>
      <c r="N164" s="256">
        <f>N163</f>
        <v>6</v>
      </c>
      <c r="O164" s="256">
        <f>N164*N22+O22</f>
        <v>3374.2340275378729</v>
      </c>
      <c r="U164" s="260"/>
      <c r="Y164" s="260">
        <v>2078.9946681188885</v>
      </c>
      <c r="Z164" s="256">
        <v>2370.3935449965561</v>
      </c>
      <c r="AA164" s="256">
        <v>2140.597415544386</v>
      </c>
      <c r="AB164" s="261">
        <v>2327.613859284405</v>
      </c>
      <c r="AE164" s="260">
        <v>2553.9571426743582</v>
      </c>
      <c r="AF164" s="256">
        <v>3054.3395083564315</v>
      </c>
      <c r="AG164" s="256">
        <v>2615.5598900998557</v>
      </c>
      <c r="AH164" s="261">
        <v>3011.5598226442803</v>
      </c>
      <c r="AK164" s="260"/>
      <c r="AN164" s="261"/>
    </row>
    <row r="165" spans="3:40" x14ac:dyDescent="0.25">
      <c r="C165" s="399"/>
      <c r="D165" s="256">
        <v>403.31566087224456</v>
      </c>
      <c r="E165" s="256">
        <v>2872.8777141828036</v>
      </c>
      <c r="F165" s="256">
        <v>395.38942098119855</v>
      </c>
      <c r="G165" s="256">
        <v>2866.7806065743066</v>
      </c>
      <c r="H165" s="256" t="s">
        <v>11</v>
      </c>
      <c r="I165" s="261">
        <v>1</v>
      </c>
      <c r="M165" s="260" t="s">
        <v>181</v>
      </c>
      <c r="N165" s="256">
        <f>N162</f>
        <v>-6</v>
      </c>
      <c r="O165" s="256">
        <f>N165*N22+O22</f>
        <v>3373.3940275378727</v>
      </c>
      <c r="U165" s="260"/>
      <c r="Y165" s="260">
        <v>2140.597415544386</v>
      </c>
      <c r="Z165" s="256">
        <v>2327.613859284405</v>
      </c>
      <c r="AA165" s="256">
        <v>2148.8111152011188</v>
      </c>
      <c r="AB165" s="261">
        <v>2321.9099011894518</v>
      </c>
      <c r="AE165" s="260">
        <v>2615.5598900998557</v>
      </c>
      <c r="AF165" s="256">
        <v>3011.5598226442803</v>
      </c>
      <c r="AG165" s="256">
        <v>2623.7735897565885</v>
      </c>
      <c r="AH165" s="261">
        <v>3005.8558645493272</v>
      </c>
      <c r="AK165" s="260"/>
      <c r="AN165" s="261"/>
    </row>
    <row r="166" spans="3:40" x14ac:dyDescent="0.25">
      <c r="C166" s="399"/>
      <c r="D166" s="256">
        <v>395.38942098119855</v>
      </c>
      <c r="E166" s="256">
        <v>2866.7806065743066</v>
      </c>
      <c r="F166" s="256">
        <v>456.3604970661678</v>
      </c>
      <c r="G166" s="256">
        <v>2787.5182076638466</v>
      </c>
      <c r="H166" s="256" t="s">
        <v>11</v>
      </c>
      <c r="I166" s="261">
        <v>1</v>
      </c>
      <c r="M166" s="260" t="s">
        <v>183</v>
      </c>
      <c r="N166" s="256">
        <f>N164</f>
        <v>6</v>
      </c>
      <c r="O166" s="256">
        <f>N166*N159+O159</f>
        <v>3383.2560505925985</v>
      </c>
      <c r="U166" s="260"/>
      <c r="Y166" s="260">
        <v>2148.8111152011188</v>
      </c>
      <c r="Z166" s="256">
        <v>2321.9099011894518</v>
      </c>
      <c r="AA166" s="256">
        <v>2205.8506961506532</v>
      </c>
      <c r="AB166" s="261">
        <v>2404.0468977567812</v>
      </c>
      <c r="AE166" s="260">
        <v>2623.7735897565885</v>
      </c>
      <c r="AF166" s="256">
        <v>3005.8558645493272</v>
      </c>
      <c r="AG166" s="256">
        <v>2680.8131707061229</v>
      </c>
      <c r="AH166" s="261">
        <v>3087.9928611166565</v>
      </c>
      <c r="AK166" s="260"/>
      <c r="AN166" s="261"/>
    </row>
    <row r="167" spans="3:40" x14ac:dyDescent="0.25">
      <c r="C167" s="399"/>
      <c r="D167" s="256">
        <v>456.3604970661678</v>
      </c>
      <c r="E167" s="256">
        <v>2787.5182076638466</v>
      </c>
      <c r="F167" s="256">
        <v>464.2867369572138</v>
      </c>
      <c r="G167" s="256">
        <v>2793.6153152723437</v>
      </c>
      <c r="H167" s="256" t="s">
        <v>11</v>
      </c>
      <c r="I167" s="261">
        <v>1</v>
      </c>
      <c r="M167" s="260" t="s">
        <v>186</v>
      </c>
      <c r="N167" s="256">
        <f>N165</f>
        <v>-6</v>
      </c>
      <c r="O167" s="256">
        <f>N167*N159+O159</f>
        <v>3382.4160505925984</v>
      </c>
      <c r="U167" s="260"/>
      <c r="Y167" s="260">
        <v>2205.8506961506532</v>
      </c>
      <c r="Z167" s="256">
        <v>2404.0468977567812</v>
      </c>
      <c r="AA167" s="256">
        <v>2197.6369964939204</v>
      </c>
      <c r="AB167" s="261">
        <v>2409.7508558517347</v>
      </c>
      <c r="AE167" s="260">
        <v>2680.8131707061229</v>
      </c>
      <c r="AF167" s="256">
        <v>3087.9928611166565</v>
      </c>
      <c r="AG167" s="256">
        <v>2672.5994710493901</v>
      </c>
      <c r="AH167" s="261">
        <v>3093.6968192116101</v>
      </c>
      <c r="AK167" s="260"/>
      <c r="AN167" s="261"/>
    </row>
    <row r="168" spans="3:40" x14ac:dyDescent="0.25">
      <c r="C168" s="399"/>
      <c r="D168" s="256">
        <v>464.2867369572138</v>
      </c>
      <c r="E168" s="256">
        <v>2793.6153152723437</v>
      </c>
      <c r="F168" s="256">
        <v>499.95481646692082</v>
      </c>
      <c r="G168" s="256">
        <v>2821.0522995105794</v>
      </c>
      <c r="H168" s="256" t="s">
        <v>12</v>
      </c>
      <c r="I168" s="261">
        <v>2</v>
      </c>
      <c r="M168" s="260" t="s">
        <v>193</v>
      </c>
      <c r="N168" s="256">
        <f>N166</f>
        <v>6</v>
      </c>
      <c r="O168" s="256">
        <f>N168*N160+O160</f>
        <v>3517.5839494074016</v>
      </c>
      <c r="U168" s="260"/>
      <c r="Y168" s="260">
        <v>2197.6369964939204</v>
      </c>
      <c r="Z168" s="256">
        <v>2409.7508558517347</v>
      </c>
      <c r="AA168" s="256">
        <v>2136.0342490684234</v>
      </c>
      <c r="AB168" s="261">
        <v>2452.5305415638854</v>
      </c>
      <c r="AE168" s="260">
        <v>2672.5994710493901</v>
      </c>
      <c r="AF168" s="256">
        <v>3093.6968192116101</v>
      </c>
      <c r="AG168" s="256">
        <v>2610.9967236238931</v>
      </c>
      <c r="AH168" s="261">
        <v>3136.4765049237608</v>
      </c>
      <c r="AK168" s="260"/>
      <c r="AN168" s="261"/>
    </row>
    <row r="169" spans="3:40" ht="15.75" thickBot="1" x14ac:dyDescent="0.3">
      <c r="C169" s="399"/>
      <c r="D169" s="256">
        <v>499.95481646692082</v>
      </c>
      <c r="E169" s="256">
        <v>2821.0522995105794</v>
      </c>
      <c r="F169" s="256">
        <v>507.88105635796683</v>
      </c>
      <c r="G169" s="256">
        <v>2827.1494071190764</v>
      </c>
      <c r="H169" s="256" t="s">
        <v>11</v>
      </c>
      <c r="I169" s="261">
        <v>1</v>
      </c>
      <c r="M169" s="263" t="s">
        <v>196</v>
      </c>
      <c r="N169" s="264">
        <f>N167</f>
        <v>-6</v>
      </c>
      <c r="O169" s="264">
        <f>N169*N160+O160</f>
        <v>3516.7439494074015</v>
      </c>
      <c r="P169" s="264"/>
      <c r="Q169" s="264"/>
      <c r="R169" s="264"/>
      <c r="S169" s="264"/>
      <c r="T169" s="264"/>
      <c r="U169" s="260"/>
      <c r="Y169" s="260">
        <v>2136.0342490684234</v>
      </c>
      <c r="Z169" s="256">
        <v>2452.5305415638854</v>
      </c>
      <c r="AA169" s="256">
        <v>2127.8205494116901</v>
      </c>
      <c r="AB169" s="261">
        <v>2458.234499658839</v>
      </c>
      <c r="AE169" s="260">
        <v>2610.9967236238931</v>
      </c>
      <c r="AF169" s="256">
        <v>3136.4765049237608</v>
      </c>
      <c r="AG169" s="256">
        <v>2602.7830239671598</v>
      </c>
      <c r="AH169" s="261">
        <v>3142.1804630187144</v>
      </c>
      <c r="AK169" s="260"/>
      <c r="AN169" s="261"/>
    </row>
    <row r="170" spans="3:40" x14ac:dyDescent="0.25">
      <c r="C170" s="399"/>
      <c r="D170" s="256">
        <v>507.88105635796683</v>
      </c>
      <c r="E170" s="256">
        <v>2827.1494071190764</v>
      </c>
      <c r="F170" s="256">
        <v>446.90998027299759</v>
      </c>
      <c r="G170" s="256">
        <v>2906.4118060295364</v>
      </c>
      <c r="H170" s="256" t="s">
        <v>11</v>
      </c>
      <c r="I170" s="261">
        <v>1</v>
      </c>
      <c r="M170" s="391" t="s">
        <v>284</v>
      </c>
      <c r="N170" s="392"/>
      <c r="O170" s="392"/>
      <c r="P170" s="392"/>
      <c r="Q170" s="392"/>
      <c r="R170" s="392"/>
      <c r="S170" s="392"/>
      <c r="T170" s="392"/>
      <c r="U170" s="260"/>
      <c r="Y170" s="260">
        <v>2127.8205494116901</v>
      </c>
      <c r="Z170" s="256">
        <v>2458.234499658839</v>
      </c>
      <c r="AA170" s="256">
        <v>2070.7809684621557</v>
      </c>
      <c r="AB170" s="261">
        <v>2376.0975030915092</v>
      </c>
      <c r="AE170" s="260">
        <v>2602.7830239671598</v>
      </c>
      <c r="AF170" s="256">
        <v>3142.1804630187144</v>
      </c>
      <c r="AG170" s="256">
        <v>2545.7434430176254</v>
      </c>
      <c r="AH170" s="261">
        <v>3060.0434664513846</v>
      </c>
      <c r="AK170" s="260"/>
      <c r="AN170" s="261"/>
    </row>
    <row r="171" spans="3:40" ht="15.75" thickBot="1" x14ac:dyDescent="0.3">
      <c r="C171" s="400"/>
      <c r="D171" s="264">
        <v>400.11467937778366</v>
      </c>
      <c r="E171" s="264">
        <v>2807.3338073914615</v>
      </c>
      <c r="F171" s="264">
        <v>503.15579796138172</v>
      </c>
      <c r="G171" s="264">
        <v>2886.5962063019215</v>
      </c>
      <c r="H171" s="264" t="s">
        <v>8</v>
      </c>
      <c r="I171" s="265">
        <v>1.5</v>
      </c>
      <c r="M171" s="260"/>
      <c r="N171" s="283" t="s">
        <v>83</v>
      </c>
      <c r="O171" s="283" t="s">
        <v>84</v>
      </c>
      <c r="U171" s="263"/>
      <c r="V171" s="264"/>
      <c r="W171" s="264"/>
      <c r="X171" s="264"/>
      <c r="Y171" s="263">
        <v>2216.3459790453676</v>
      </c>
      <c r="Z171" s="264">
        <v>2335.8845985220878</v>
      </c>
      <c r="AA171" s="264">
        <v>2060.2856855674413</v>
      </c>
      <c r="AB171" s="265">
        <v>2444.259802326203</v>
      </c>
      <c r="AC171" s="264"/>
      <c r="AD171" s="264"/>
      <c r="AE171" s="263">
        <v>2691.3084536008373</v>
      </c>
      <c r="AF171" s="264">
        <v>3019.8305618819631</v>
      </c>
      <c r="AG171" s="264">
        <v>2535.248160122911</v>
      </c>
      <c r="AH171" s="265">
        <v>3128.2057656860784</v>
      </c>
      <c r="AI171" s="264"/>
      <c r="AJ171" s="264"/>
      <c r="AK171" s="263"/>
      <c r="AL171" s="264"/>
      <c r="AM171" s="264"/>
      <c r="AN171" s="265"/>
    </row>
    <row r="172" spans="3:40" ht="15.75" thickBot="1" x14ac:dyDescent="0.3">
      <c r="C172" s="391" t="s">
        <v>317</v>
      </c>
      <c r="D172" s="258" cm="1">
        <f t="array" ref="D172:G180">Y130:AB138</f>
        <v>675.67605081905117</v>
      </c>
      <c r="E172" s="258">
        <v>2609.0159143196665</v>
      </c>
      <c r="F172" s="258">
        <v>667.74981092800522</v>
      </c>
      <c r="G172" s="258">
        <v>2602.91880671117</v>
      </c>
      <c r="H172" s="258" t="s">
        <v>11</v>
      </c>
      <c r="I172" s="259">
        <v>1</v>
      </c>
      <c r="M172" s="260" t="s">
        <v>285</v>
      </c>
      <c r="N172" s="256">
        <f>N69-Parametry!Q37*COS('Obliczenia i dane'!S172)</f>
        <v>1348.8654810989435</v>
      </c>
      <c r="O172" s="256">
        <f>O69+Parametry!Q37*SIN('Obliczenia i dane'!S172)</f>
        <v>1643.662947888095</v>
      </c>
      <c r="R172" s="273" t="s">
        <v>287</v>
      </c>
      <c r="S172" s="320" cm="1">
        <f t="array" ref="S172:T172">S155:T155</f>
        <v>0.91510070055336046</v>
      </c>
      <c r="T172" s="296">
        <v>52.431407971172511</v>
      </c>
    </row>
    <row r="173" spans="3:40" ht="15.75" thickBot="1" x14ac:dyDescent="0.3">
      <c r="C173" s="399"/>
      <c r="D173" s="256">
        <v>667.74981092800522</v>
      </c>
      <c r="E173" s="256">
        <v>2602.91880671117</v>
      </c>
      <c r="F173" s="256">
        <v>632.0817314182982</v>
      </c>
      <c r="G173" s="256">
        <v>2575.4818224729338</v>
      </c>
      <c r="H173" s="256" t="s">
        <v>12</v>
      </c>
      <c r="I173" s="261">
        <v>2</v>
      </c>
      <c r="M173" s="260" t="s">
        <v>286</v>
      </c>
      <c r="N173" s="256">
        <f>N172+Parametry!F33*SIN('Obliczenia i dane'!S172)</f>
        <v>1384.5335606086505</v>
      </c>
      <c r="O173" s="256">
        <f>O172+Parametry!F33*COS('Obliczenia i dane'!S172)</f>
        <v>1671.0999321263312</v>
      </c>
      <c r="R173" s="277" t="s">
        <v>288</v>
      </c>
      <c r="S173" s="320">
        <f>S81</f>
        <v>0.96380866274848864</v>
      </c>
      <c r="T173" s="296">
        <f>DEGREES(S173)</f>
        <v>55.222168633636123</v>
      </c>
      <c r="V173" s="394" t="s">
        <v>333</v>
      </c>
      <c r="W173" s="395"/>
      <c r="X173" s="395"/>
      <c r="Y173" s="395"/>
      <c r="Z173" s="395"/>
      <c r="AA173" s="395"/>
      <c r="AB173" s="395"/>
      <c r="AC173" s="395"/>
      <c r="AD173" s="396"/>
      <c r="AF173" s="256" t="s">
        <v>416</v>
      </c>
    </row>
    <row r="174" spans="3:40" x14ac:dyDescent="0.25">
      <c r="C174" s="399"/>
      <c r="D174" s="256">
        <v>632.0817314182982</v>
      </c>
      <c r="E174" s="256">
        <v>2575.4818224729338</v>
      </c>
      <c r="F174" s="256">
        <v>624.15549152725214</v>
      </c>
      <c r="G174" s="256">
        <v>2569.3847148644368</v>
      </c>
      <c r="H174" s="256" t="s">
        <v>11</v>
      </c>
      <c r="I174" s="261">
        <v>1</v>
      </c>
      <c r="M174" s="260" t="s">
        <v>289</v>
      </c>
      <c r="N174" s="256">
        <f>N100+Parametry!S37*COS('Obliczenia i dane'!S173)</f>
        <v>1694.1547314636839</v>
      </c>
      <c r="O174" s="256">
        <f>O100+Parametry!S37*SIN('Obliczenia i dane'!S173)</f>
        <v>1684.7363942081943</v>
      </c>
      <c r="T174" s="261"/>
      <c r="V174" s="399" t="s">
        <v>337</v>
      </c>
      <c r="W174" s="364"/>
      <c r="X174" s="364"/>
      <c r="Y174" s="364"/>
      <c r="Z174" s="364"/>
      <c r="AA174" s="364"/>
      <c r="AB174" s="364"/>
      <c r="AC174" s="364"/>
      <c r="AD174" s="406"/>
      <c r="AG174" s="256" t="s">
        <v>170</v>
      </c>
      <c r="AH174" s="256" t="s">
        <v>67</v>
      </c>
    </row>
    <row r="175" spans="3:40" ht="30.75" thickBot="1" x14ac:dyDescent="0.3">
      <c r="C175" s="399"/>
      <c r="D175" s="256">
        <v>624.15549152725214</v>
      </c>
      <c r="E175" s="256">
        <v>2569.3847148644368</v>
      </c>
      <c r="F175" s="256">
        <v>685.12656761222138</v>
      </c>
      <c r="G175" s="256">
        <v>2490.1223159539768</v>
      </c>
      <c r="H175" s="256" t="s">
        <v>11</v>
      </c>
      <c r="I175" s="261">
        <v>1</v>
      </c>
      <c r="M175" s="260" t="s">
        <v>290</v>
      </c>
      <c r="N175" s="256">
        <f>N174-Parametry!F34*SIN('Obliczenia i dane'!S173)</f>
        <v>1632.5519840381867</v>
      </c>
      <c r="O175" s="256">
        <f>O174+Parametry!F34*COS('Obliczenia i dane'!S173)</f>
        <v>1727.5160799203452</v>
      </c>
      <c r="T175" s="261"/>
      <c r="V175" s="260"/>
      <c r="W175" s="283" t="s">
        <v>83</v>
      </c>
      <c r="X175" s="283" t="s">
        <v>84</v>
      </c>
      <c r="Z175" s="283" t="s">
        <v>170</v>
      </c>
      <c r="AA175" s="283" t="s">
        <v>67</v>
      </c>
      <c r="AD175" s="261"/>
      <c r="AF175" s="254" t="s">
        <v>417</v>
      </c>
      <c r="AG175" s="256">
        <f>(G87-E87)/(F87-D87)</f>
        <v>-14.285714285714281</v>
      </c>
      <c r="AH175" s="256">
        <f>G87-F87*AG175</f>
        <v>3450</v>
      </c>
    </row>
    <row r="176" spans="3:40" ht="30" x14ac:dyDescent="0.25">
      <c r="C176" s="399"/>
      <c r="D176" s="256">
        <v>685.12656761222138</v>
      </c>
      <c r="E176" s="256">
        <v>2490.1223159539768</v>
      </c>
      <c r="F176" s="256">
        <v>693.05280750326745</v>
      </c>
      <c r="G176" s="256">
        <v>2496.2194235624738</v>
      </c>
      <c r="H176" s="256" t="s">
        <v>11</v>
      </c>
      <c r="I176" s="261">
        <v>1</v>
      </c>
      <c r="M176" s="260" t="s">
        <v>291</v>
      </c>
      <c r="N176" s="256">
        <f>N172</f>
        <v>1348.8654810989435</v>
      </c>
      <c r="O176" s="256">
        <f>G69</f>
        <v>1576</v>
      </c>
      <c r="T176" s="261"/>
      <c r="V176" s="302" t="s">
        <v>334</v>
      </c>
      <c r="W176" s="258" cm="1">
        <f t="array" ref="W176:X176">D9:E9</f>
        <v>0</v>
      </c>
      <c r="X176" s="259">
        <v>3450</v>
      </c>
      <c r="Y176" s="302" t="s">
        <v>341</v>
      </c>
      <c r="Z176" s="258">
        <f>(X180-X176)/(W180-W176)</f>
        <v>-0.38666666666666666</v>
      </c>
      <c r="AA176" s="259">
        <f>X180-W180*Z176</f>
        <v>3450</v>
      </c>
      <c r="AB176" s="302" t="s">
        <v>346</v>
      </c>
      <c r="AC176" s="258">
        <f>SQRT(POWER(W182-W176,2)+POWER(X182-X176,2))</f>
        <v>1608.22883943797</v>
      </c>
      <c r="AD176" s="259"/>
      <c r="AF176" s="254" t="s">
        <v>418</v>
      </c>
      <c r="AG176" s="256">
        <f>(G88-E88)/(F88-D88)</f>
        <v>-14.285714285714272</v>
      </c>
      <c r="AH176" s="256">
        <f>G88-F88*AG176</f>
        <v>46517.142857142819</v>
      </c>
    </row>
    <row r="177" spans="3:34" ht="30.75" thickBot="1" x14ac:dyDescent="0.3">
      <c r="C177" s="399"/>
      <c r="D177" s="256">
        <v>693.05280750326745</v>
      </c>
      <c r="E177" s="256">
        <v>2496.2194235624738</v>
      </c>
      <c r="F177" s="256">
        <v>728.72088701297434</v>
      </c>
      <c r="G177" s="256">
        <v>2523.6564078007095</v>
      </c>
      <c r="H177" s="256" t="s">
        <v>12</v>
      </c>
      <c r="I177" s="261">
        <v>2</v>
      </c>
      <c r="M177" s="263" t="s">
        <v>292</v>
      </c>
      <c r="N177" s="264">
        <f>N174</f>
        <v>1694.1547314636839</v>
      </c>
      <c r="O177" s="264">
        <f>O176</f>
        <v>1576</v>
      </c>
      <c r="P177" s="264"/>
      <c r="Q177" s="264"/>
      <c r="R177" s="264"/>
      <c r="S177" s="264"/>
      <c r="T177" s="265"/>
      <c r="V177" s="305" t="s">
        <v>335</v>
      </c>
      <c r="W177" s="256" cm="1">
        <f t="array" ref="W177:X177">F10:G10</f>
        <v>3000</v>
      </c>
      <c r="X177" s="261">
        <v>3660</v>
      </c>
      <c r="Y177" s="305" t="s">
        <v>342</v>
      </c>
      <c r="Z177" s="256">
        <f>(X181-X177)/(W181-W177)</f>
        <v>0.52666666666666662</v>
      </c>
      <c r="AA177" s="261">
        <f>X181-W181*Z177</f>
        <v>2080</v>
      </c>
      <c r="AB177" s="305" t="s">
        <v>347</v>
      </c>
      <c r="AC177" s="256">
        <f>Parametry!P40*'Obliczenia i dane'!AC176</f>
        <v>434.22178664825191</v>
      </c>
      <c r="AD177" s="261"/>
      <c r="AF177" s="254" t="s">
        <v>421</v>
      </c>
      <c r="AG177" s="256">
        <f>N22</f>
        <v>6.999999999999966E-2</v>
      </c>
      <c r="AH177" s="256">
        <f>G80-F80*AG177</f>
        <v>3526.1859724621281</v>
      </c>
    </row>
    <row r="178" spans="3:34" ht="15.75" thickBot="1" x14ac:dyDescent="0.3">
      <c r="C178" s="399"/>
      <c r="D178" s="256">
        <v>728.72088701297434</v>
      </c>
      <c r="E178" s="256">
        <v>2523.6564078007095</v>
      </c>
      <c r="F178" s="256">
        <v>736.64712690402041</v>
      </c>
      <c r="G178" s="256">
        <v>2529.7535154092066</v>
      </c>
      <c r="H178" s="256" t="s">
        <v>11</v>
      </c>
      <c r="I178" s="261">
        <v>1</v>
      </c>
      <c r="M178" s="391" t="s">
        <v>294</v>
      </c>
      <c r="N178" s="392"/>
      <c r="O178" s="392"/>
      <c r="P178" s="392"/>
      <c r="Q178" s="392"/>
      <c r="R178" s="392"/>
      <c r="S178" s="392"/>
      <c r="T178" s="393"/>
      <c r="V178" s="319" t="s">
        <v>336</v>
      </c>
      <c r="W178" s="264" cm="1">
        <f t="array" ref="W178:X178">F8:G8</f>
        <v>1500</v>
      </c>
      <c r="X178" s="265">
        <v>1500</v>
      </c>
      <c r="Y178" s="319" t="s">
        <v>343</v>
      </c>
      <c r="Z178" s="264">
        <f>IF(W179=W178,W178,(X179-X178)/(W179-W178))</f>
        <v>1500</v>
      </c>
      <c r="AA178" s="265" t="str">
        <f>IF(W179=W178,"-",X179-W179*Z178)</f>
        <v>-</v>
      </c>
      <c r="AB178" s="319" t="s">
        <v>348</v>
      </c>
      <c r="AC178" s="264">
        <f>-ATAN(Z176)</f>
        <v>0.36895954620585647</v>
      </c>
      <c r="AD178" s="265">
        <f>DEGREES(AC178)</f>
        <v>21.139824808657661</v>
      </c>
      <c r="AG178" s="256" t="s">
        <v>83</v>
      </c>
      <c r="AH178" s="256" t="s">
        <v>84</v>
      </c>
    </row>
    <row r="179" spans="3:34" ht="30.75" thickBot="1" x14ac:dyDescent="0.3">
      <c r="C179" s="399"/>
      <c r="D179" s="256">
        <v>736.64712690402041</v>
      </c>
      <c r="E179" s="256">
        <v>2529.7535154092066</v>
      </c>
      <c r="F179" s="256">
        <v>675.67605081905117</v>
      </c>
      <c r="G179" s="256">
        <v>2609.0159143196665</v>
      </c>
      <c r="H179" s="256" t="s">
        <v>11</v>
      </c>
      <c r="I179" s="261">
        <v>1</v>
      </c>
      <c r="M179" s="260"/>
      <c r="N179" s="283" t="s">
        <v>83</v>
      </c>
      <c r="O179" s="283" t="s">
        <v>84</v>
      </c>
      <c r="T179" s="261"/>
      <c r="V179" s="302" t="s">
        <v>338</v>
      </c>
      <c r="W179" s="258">
        <f>(W176+W177)/2</f>
        <v>1500</v>
      </c>
      <c r="X179" s="259">
        <f>(X176+X177)/2</f>
        <v>3555</v>
      </c>
      <c r="Y179" s="302" t="s">
        <v>350</v>
      </c>
      <c r="Z179" s="258">
        <f>SQRT(POWER(W182-W177,2)+POWER(X182-X177,2))</f>
        <v>1695.3170794869025</v>
      </c>
      <c r="AA179" s="259"/>
      <c r="AB179" s="302" t="s">
        <v>354</v>
      </c>
      <c r="AC179" s="258">
        <f>SQRT(POWER(W182-W178,2)+POWER(X182-X178,2))</f>
        <v>1370</v>
      </c>
      <c r="AD179" s="259"/>
      <c r="AF179" s="254" t="s">
        <v>419</v>
      </c>
      <c r="AG179" s="256">
        <f>(AH177-AH175)/(AG175-AG177)</f>
        <v>-5.3070137051935218</v>
      </c>
      <c r="AH179" s="256">
        <f>AG179*AG177+AH177</f>
        <v>3525.8144815027645</v>
      </c>
    </row>
    <row r="180" spans="3:34" ht="30.75" thickBot="1" x14ac:dyDescent="0.3">
      <c r="C180" s="400"/>
      <c r="D180" s="264">
        <v>628.88074992383724</v>
      </c>
      <c r="E180" s="264">
        <v>2509.9379156815917</v>
      </c>
      <c r="F180" s="264">
        <v>731.92186850743531</v>
      </c>
      <c r="G180" s="264">
        <v>2589.2003145920517</v>
      </c>
      <c r="H180" s="264" t="s">
        <v>8</v>
      </c>
      <c r="I180" s="265">
        <v>1.5</v>
      </c>
      <c r="M180" s="260" t="s">
        <v>289</v>
      </c>
      <c r="N180" s="256">
        <f>N124-Parametry!S37*COS('Obliczenia i dane'!S180)</f>
        <v>2881.5609178523573</v>
      </c>
      <c r="O180" s="256">
        <f>O124-Parametry!S37*SIN('Obliczenia i dane'!S180)</f>
        <v>3394.6013026078831</v>
      </c>
      <c r="R180" s="257" t="str" cm="1">
        <f t="array" ref="R180:T180">R173:T173</f>
        <v>Kat nachylenia KS</v>
      </c>
      <c r="S180" s="258">
        <v>0.96380866274848864</v>
      </c>
      <c r="T180" s="259">
        <v>55.222168633636123</v>
      </c>
      <c r="V180" s="305" t="s">
        <v>339</v>
      </c>
      <c r="W180" s="256">
        <f>(W177+W178)/2</f>
        <v>2250</v>
      </c>
      <c r="X180" s="261">
        <f>(X177+X178)/2</f>
        <v>2580</v>
      </c>
      <c r="Y180" s="305" t="s">
        <v>351</v>
      </c>
      <c r="Z180" s="256">
        <f>Parametry!P40*'Obliczenia i dane'!Z179</f>
        <v>457.73561146146369</v>
      </c>
      <c r="AA180" s="261"/>
      <c r="AB180" s="305" t="s">
        <v>355</v>
      </c>
      <c r="AC180" s="256">
        <f>Parametry!P40*'Obliczenia i dane'!AC179</f>
        <v>369.90000000000003</v>
      </c>
      <c r="AD180" s="261"/>
      <c r="AF180" s="254" t="s">
        <v>420</v>
      </c>
      <c r="AG180" s="256">
        <f>(AH177-AH176)/(AG176-AG177)</f>
        <v>2994.6929862948068</v>
      </c>
      <c r="AH180" s="256">
        <f>AG180*AG177+AH177</f>
        <v>3735.8144815027636</v>
      </c>
    </row>
    <row r="181" spans="3:34" ht="15.75" thickBot="1" x14ac:dyDescent="0.3">
      <c r="C181" s="391" t="s">
        <v>318</v>
      </c>
      <c r="D181" s="258" cm="1">
        <f t="array" ref="D181:G189">AE120:AH128</f>
        <v>904.44212136510475</v>
      </c>
      <c r="E181" s="258">
        <v>2311.6200226097972</v>
      </c>
      <c r="F181" s="258">
        <v>896.5158814740588</v>
      </c>
      <c r="G181" s="258">
        <v>2305.5229150013006</v>
      </c>
      <c r="H181" s="258" t="s">
        <v>11</v>
      </c>
      <c r="I181" s="259">
        <v>1</v>
      </c>
      <c r="M181" s="260" t="s">
        <v>290</v>
      </c>
      <c r="N181" s="256">
        <f>N180-Parametry!F34*SIN('Obliczenia i dane'!S180)</f>
        <v>2819.9581704268603</v>
      </c>
      <c r="O181" s="256">
        <f>O180+Parametry!F34*COS('Obliczenia i dane'!S180)</f>
        <v>3437.3809883200338</v>
      </c>
      <c r="R181" s="263" t="s">
        <v>295</v>
      </c>
      <c r="S181" s="264" cm="1">
        <f t="array" ref="S181:T181">S131:T131</f>
        <v>0.96380866274848853</v>
      </c>
      <c r="T181" s="265">
        <v>55.222168633636116</v>
      </c>
      <c r="V181" s="319" t="s">
        <v>340</v>
      </c>
      <c r="W181" s="264">
        <f>(W176+W178)/2</f>
        <v>750</v>
      </c>
      <c r="X181" s="265">
        <f>(X176+X178)/2</f>
        <v>2475</v>
      </c>
      <c r="Y181" s="319" t="s">
        <v>352</v>
      </c>
      <c r="Z181" s="264">
        <f>ATAN(Z177)</f>
        <v>0.48475265430483688</v>
      </c>
      <c r="AA181" s="265">
        <f>DEGREES(Z181)</f>
        <v>27.77428119943135</v>
      </c>
      <c r="AB181" s="319" t="s">
        <v>356</v>
      </c>
      <c r="AC181" s="264" t="str">
        <f>IF(W179=W178,"-",ATAN(Z178))</f>
        <v>-</v>
      </c>
      <c r="AD181" s="265" t="str">
        <f>IF(W179=W178,"-",DEGREES(AC181))</f>
        <v>-</v>
      </c>
    </row>
    <row r="182" spans="3:34" ht="15.75" thickBot="1" x14ac:dyDescent="0.3">
      <c r="C182" s="399"/>
      <c r="D182" s="256">
        <v>896.5158814740588</v>
      </c>
      <c r="E182" s="256">
        <v>2305.5229150013006</v>
      </c>
      <c r="F182" s="256">
        <v>860.84780196435179</v>
      </c>
      <c r="G182" s="256">
        <v>2278.0859307630644</v>
      </c>
      <c r="H182" s="256" t="s">
        <v>12</v>
      </c>
      <c r="I182" s="261">
        <v>2</v>
      </c>
      <c r="M182" s="260" t="s">
        <v>291</v>
      </c>
      <c r="N182" s="256">
        <f>(T184-O22)/(N22-S184)</f>
        <v>2810.6357425431497</v>
      </c>
      <c r="O182" s="256">
        <f>N182*N22+O22</f>
        <v>3570.5585295158921</v>
      </c>
      <c r="T182" s="261"/>
      <c r="V182" s="313" t="s">
        <v>345</v>
      </c>
      <c r="W182" s="320">
        <f>(AA177-AA176)/(Z176-Z177)</f>
        <v>1500</v>
      </c>
      <c r="X182" s="296">
        <f>W182*Z177+AA177</f>
        <v>2870</v>
      </c>
      <c r="AD182" s="261"/>
    </row>
    <row r="183" spans="3:34" x14ac:dyDescent="0.25">
      <c r="C183" s="399"/>
      <c r="D183" s="256">
        <v>860.84780196435179</v>
      </c>
      <c r="E183" s="256">
        <v>2278.0859307630644</v>
      </c>
      <c r="F183" s="256">
        <v>852.92156207330572</v>
      </c>
      <c r="G183" s="256">
        <v>2271.9888231545674</v>
      </c>
      <c r="H183" s="256" t="s">
        <v>11</v>
      </c>
      <c r="I183" s="261">
        <v>1</v>
      </c>
      <c r="M183" s="260" t="s">
        <v>296</v>
      </c>
      <c r="N183" s="256">
        <f>N147+Parametry!U37*COS('Obliczenia i dane'!S181)</f>
        <v>3091.462547928264</v>
      </c>
      <c r="O183" s="256">
        <f>O147-Parametry!U37*SIN('Obliczenia i dane'!S181)</f>
        <v>3471.8419033492105</v>
      </c>
      <c r="S183" s="283" t="s">
        <v>170</v>
      </c>
      <c r="T183" s="306" t="s">
        <v>67</v>
      </c>
      <c r="V183" s="302" t="s">
        <v>349</v>
      </c>
      <c r="W183" s="258">
        <f>W182-AC177*COS(AC178)</f>
        <v>1095</v>
      </c>
      <c r="X183" s="259">
        <f>X182+AC177*SIN(AC178)</f>
        <v>3026.6</v>
      </c>
      <c r="AD183" s="261"/>
    </row>
    <row r="184" spans="3:34" ht="28.5" customHeight="1" x14ac:dyDescent="0.25">
      <c r="C184" s="399"/>
      <c r="D184" s="256">
        <v>852.92156207330572</v>
      </c>
      <c r="E184" s="256">
        <v>2271.9888231545674</v>
      </c>
      <c r="F184" s="256">
        <v>913.89263815827496</v>
      </c>
      <c r="G184" s="256">
        <v>2192.7264242441074</v>
      </c>
      <c r="H184" s="256" t="s">
        <v>11</v>
      </c>
      <c r="I184" s="261">
        <v>1</v>
      </c>
      <c r="M184" s="260" t="s">
        <v>297</v>
      </c>
      <c r="N184" s="256">
        <f>N183+Parametry!F35*SIN('Obliczenia i dane'!S181)</f>
        <v>3128.4241963835625</v>
      </c>
      <c r="O184" s="256">
        <f>O183+Parametry!F35*COS('Obliczenia i dane'!S181)</f>
        <v>3497.5097147765009</v>
      </c>
      <c r="R184" s="254" t="s">
        <v>298</v>
      </c>
      <c r="S184" s="256">
        <f>-1/N22</f>
        <v>-14.285714285714356</v>
      </c>
      <c r="T184" s="261">
        <f>O181-N181*S184</f>
        <v>43722.497708703944</v>
      </c>
      <c r="V184" s="305" t="s">
        <v>353</v>
      </c>
      <c r="W184" s="256">
        <f>W182+Z180*COS(Z181)</f>
        <v>1905</v>
      </c>
      <c r="X184" s="261">
        <f>X182+Z180*SIN(Z181)</f>
        <v>3083.3</v>
      </c>
      <c r="AD184" s="261"/>
    </row>
    <row r="185" spans="3:34" ht="30.75" customHeight="1" thickBot="1" x14ac:dyDescent="0.3">
      <c r="C185" s="399"/>
      <c r="D185" s="256">
        <v>913.89263815827496</v>
      </c>
      <c r="E185" s="256">
        <v>2192.7264242441074</v>
      </c>
      <c r="F185" s="256">
        <v>921.81887804932103</v>
      </c>
      <c r="G185" s="256">
        <v>2198.823531852604</v>
      </c>
      <c r="H185" s="256" t="s">
        <v>11</v>
      </c>
      <c r="I185" s="261">
        <v>1</v>
      </c>
      <c r="M185" s="263" t="s">
        <v>292</v>
      </c>
      <c r="N185" s="264">
        <f>(T185-O22)/(N22-S185)</f>
        <v>3121.7861423925424</v>
      </c>
      <c r="O185" s="264">
        <f>N185*N22+O22</f>
        <v>3592.3390575053495</v>
      </c>
      <c r="P185" s="264"/>
      <c r="Q185" s="264"/>
      <c r="R185" s="336" t="s">
        <v>299</v>
      </c>
      <c r="S185" s="264">
        <f>S184</f>
        <v>-14.285714285714356</v>
      </c>
      <c r="T185" s="265">
        <f>O184-N184*S185</f>
        <v>48189.283948827608</v>
      </c>
      <c r="V185" s="319" t="s">
        <v>357</v>
      </c>
      <c r="W185" s="264">
        <f>IF(W179=W178,W179,W182-AC180*COS(AC181))</f>
        <v>1500</v>
      </c>
      <c r="X185" s="265">
        <f>IF(W179=W178,X182-AC180,X182-AC180*SIN(AC181))</f>
        <v>2500.1</v>
      </c>
      <c r="AD185" s="261"/>
    </row>
    <row r="186" spans="3:34" ht="15.75" thickBot="1" x14ac:dyDescent="0.3">
      <c r="C186" s="399"/>
      <c r="D186" s="256">
        <v>921.81887804932103</v>
      </c>
      <c r="E186" s="256">
        <v>2198.823531852604</v>
      </c>
      <c r="F186" s="256">
        <v>957.48695755902793</v>
      </c>
      <c r="G186" s="256">
        <v>2226.2605160908402</v>
      </c>
      <c r="H186" s="256" t="s">
        <v>12</v>
      </c>
      <c r="I186" s="261">
        <v>2</v>
      </c>
      <c r="V186" s="260"/>
      <c r="AD186" s="261"/>
    </row>
    <row r="187" spans="3:34" x14ac:dyDescent="0.25">
      <c r="C187" s="399"/>
      <c r="D187" s="256">
        <v>957.48695755902793</v>
      </c>
      <c r="E187" s="256">
        <v>2226.2605160908402</v>
      </c>
      <c r="F187" s="256">
        <v>965.41319745007399</v>
      </c>
      <c r="G187" s="256">
        <v>2232.3576236993372</v>
      </c>
      <c r="H187" s="256" t="s">
        <v>11</v>
      </c>
      <c r="I187" s="261">
        <v>1</v>
      </c>
      <c r="M187" s="394" t="s">
        <v>15</v>
      </c>
      <c r="N187" s="395"/>
      <c r="O187" s="395"/>
      <c r="P187" s="395"/>
      <c r="Q187" s="395"/>
      <c r="R187" s="395"/>
      <c r="S187" s="396"/>
      <c r="V187" s="391" t="s">
        <v>360</v>
      </c>
      <c r="W187" s="392"/>
      <c r="X187" s="392"/>
      <c r="Y187" s="392"/>
      <c r="Z187" s="392"/>
      <c r="AA187" s="392"/>
      <c r="AB187" s="392"/>
      <c r="AC187" s="392"/>
      <c r="AD187" s="393"/>
    </row>
    <row r="188" spans="3:34" ht="15.75" thickBot="1" x14ac:dyDescent="0.3">
      <c r="C188" s="399"/>
      <c r="D188" s="256">
        <v>965.41319745007399</v>
      </c>
      <c r="E188" s="256">
        <v>2232.3576236993372</v>
      </c>
      <c r="F188" s="256">
        <v>904.44212136510475</v>
      </c>
      <c r="G188" s="256">
        <v>2311.6200226097972</v>
      </c>
      <c r="H188" s="256" t="s">
        <v>11</v>
      </c>
      <c r="I188" s="261">
        <v>1</v>
      </c>
      <c r="M188" s="399" t="s">
        <v>361</v>
      </c>
      <c r="N188" s="364"/>
      <c r="O188" s="364"/>
      <c r="P188" s="364"/>
      <c r="Q188" s="364"/>
      <c r="R188" s="364"/>
      <c r="S188" s="406"/>
      <c r="V188" s="260"/>
      <c r="W188" s="283" t="s">
        <v>83</v>
      </c>
      <c r="X188" s="283" t="s">
        <v>84</v>
      </c>
      <c r="Z188" s="283" t="s">
        <v>170</v>
      </c>
      <c r="AA188" s="283" t="s">
        <v>67</v>
      </c>
      <c r="AD188" s="261"/>
    </row>
    <row r="189" spans="3:34" ht="15.75" thickBot="1" x14ac:dyDescent="0.3">
      <c r="C189" s="400"/>
      <c r="D189" s="264">
        <v>857.64682046989083</v>
      </c>
      <c r="E189" s="264">
        <v>2212.5420239717223</v>
      </c>
      <c r="F189" s="264">
        <v>960.68793905348889</v>
      </c>
      <c r="G189" s="264">
        <v>2291.8044228821823</v>
      </c>
      <c r="H189" s="264" t="s">
        <v>8</v>
      </c>
      <c r="I189" s="265">
        <v>1.5</v>
      </c>
      <c r="M189" s="413" t="s">
        <v>362</v>
      </c>
      <c r="N189" s="414"/>
      <c r="O189" s="414"/>
      <c r="P189" s="414"/>
      <c r="S189" s="261"/>
      <c r="V189" s="302" t="s">
        <v>334</v>
      </c>
      <c r="W189" s="258" cm="1">
        <f t="array" ref="W189:X189">D9:E9</f>
        <v>0</v>
      </c>
      <c r="X189" s="259">
        <v>3450</v>
      </c>
      <c r="Y189" s="302" t="s">
        <v>341</v>
      </c>
      <c r="Z189" s="258">
        <f>(X193-X189)/(W193-W189)</f>
        <v>-2.6</v>
      </c>
      <c r="AA189" s="259">
        <f>X193-W193*Z189</f>
        <v>3450</v>
      </c>
      <c r="AB189" s="302" t="s">
        <v>346</v>
      </c>
      <c r="AC189" s="258">
        <f>SQRT(POWER(W195-W189,2)+POWER(X195-X189,2))</f>
        <v>1392.8388277184119</v>
      </c>
      <c r="AD189" s="259"/>
    </row>
    <row r="190" spans="3:34" x14ac:dyDescent="0.25">
      <c r="C190" s="391" t="s">
        <v>319</v>
      </c>
      <c r="D190" s="258" cm="1">
        <f t="array" ref="D190:G198">AE130:AH138</f>
        <v>1133.2081919111583</v>
      </c>
      <c r="E190" s="258">
        <v>2014.2241308999278</v>
      </c>
      <c r="F190" s="258">
        <v>1125.2819520201124</v>
      </c>
      <c r="G190" s="258">
        <v>2008.1270232914308</v>
      </c>
      <c r="H190" s="258" t="s">
        <v>11</v>
      </c>
      <c r="I190" s="259">
        <v>1</v>
      </c>
      <c r="M190" s="260">
        <v>-11.9</v>
      </c>
      <c r="N190" s="256">
        <v>12</v>
      </c>
      <c r="O190" s="256">
        <v>11.9</v>
      </c>
      <c r="P190" s="256">
        <v>12</v>
      </c>
      <c r="R190" s="283" t="s">
        <v>363</v>
      </c>
      <c r="S190" s="261">
        <f>_xlfn.CEILING.MATH(Parametry!I31+Parametry!H43+12+15+2,10)</f>
        <v>50</v>
      </c>
      <c r="V190" s="305" t="s">
        <v>335</v>
      </c>
      <c r="W190" s="256" cm="1">
        <f t="array" ref="W190:X190">D10:E10</f>
        <v>1500</v>
      </c>
      <c r="X190" s="261">
        <v>1500</v>
      </c>
      <c r="Y190" s="305" t="s">
        <v>342</v>
      </c>
      <c r="Z190" s="256">
        <f>(X194-X190)/(W194-W190)</f>
        <v>-0.65</v>
      </c>
      <c r="AA190" s="261">
        <f>X194-W194*Z190</f>
        <v>2475</v>
      </c>
      <c r="AB190" s="305" t="s">
        <v>347</v>
      </c>
      <c r="AC190" s="256">
        <f>Parametry!P40*'Obliczenia i dane'!AC189</f>
        <v>376.06648348397124</v>
      </c>
      <c r="AD190" s="261"/>
    </row>
    <row r="191" spans="3:34" ht="15.75" thickBot="1" x14ac:dyDescent="0.3">
      <c r="C191" s="399"/>
      <c r="D191" s="256">
        <v>1125.2819520201124</v>
      </c>
      <c r="E191" s="256">
        <v>2008.1270232914308</v>
      </c>
      <c r="F191" s="256">
        <v>1089.6138725104054</v>
      </c>
      <c r="G191" s="256">
        <v>1980.6900390531946</v>
      </c>
      <c r="H191" s="256" t="s">
        <v>12</v>
      </c>
      <c r="I191" s="261">
        <v>2</v>
      </c>
      <c r="M191" s="260" cm="1">
        <f t="array" ref="M191:N191">O190:P190</f>
        <v>11.9</v>
      </c>
      <c r="N191" s="256">
        <v>12</v>
      </c>
      <c r="O191" s="256">
        <f>M191+2</f>
        <v>13.9</v>
      </c>
      <c r="P191" s="256">
        <f>N191-2</f>
        <v>10</v>
      </c>
      <c r="R191" s="283" t="s">
        <v>364</v>
      </c>
      <c r="S191" s="261">
        <f>Parametry!I31+Parametry!H43</f>
        <v>19</v>
      </c>
      <c r="V191" s="319" t="s">
        <v>336</v>
      </c>
      <c r="W191" s="264" cm="1">
        <f t="array" ref="W191:X191">D7:E7</f>
        <v>0</v>
      </c>
      <c r="X191" s="265">
        <v>1500</v>
      </c>
      <c r="Y191" s="319" t="s">
        <v>343</v>
      </c>
      <c r="Z191" s="264">
        <f>(X192-X191)/(W192-W191)</f>
        <v>1.3</v>
      </c>
      <c r="AA191" s="265">
        <f>IF(W192=W191,"-",X192-W192*Z191)</f>
        <v>1500</v>
      </c>
      <c r="AB191" s="319" t="s">
        <v>348</v>
      </c>
      <c r="AC191" s="264">
        <f>-ATAN(Z189)</f>
        <v>1.2036224929766774</v>
      </c>
      <c r="AD191" s="265">
        <f>DEGREES(AC191)</f>
        <v>68.962488974578193</v>
      </c>
    </row>
    <row r="192" spans="3:34" x14ac:dyDescent="0.25">
      <c r="C192" s="399"/>
      <c r="D192" s="256">
        <v>1089.6138725104054</v>
      </c>
      <c r="E192" s="256">
        <v>1980.6900390531946</v>
      </c>
      <c r="F192" s="256">
        <v>1081.6876326193594</v>
      </c>
      <c r="G192" s="256">
        <v>1974.5929314446978</v>
      </c>
      <c r="H192" s="256" t="s">
        <v>11</v>
      </c>
      <c r="I192" s="261">
        <v>1</v>
      </c>
      <c r="M192" s="260" cm="1">
        <f t="array" ref="M192:N192">M190:N190</f>
        <v>-11.9</v>
      </c>
      <c r="N192" s="256">
        <v>12</v>
      </c>
      <c r="O192" s="256">
        <f>M192-2</f>
        <v>-13.9</v>
      </c>
      <c r="P192" s="256">
        <f>N192-2</f>
        <v>10</v>
      </c>
      <c r="R192" s="283" t="s">
        <v>367</v>
      </c>
      <c r="S192" s="261">
        <v>0.25</v>
      </c>
      <c r="V192" s="302" t="s">
        <v>338</v>
      </c>
      <c r="W192" s="258">
        <f>(W189+W190)/2</f>
        <v>750</v>
      </c>
      <c r="X192" s="259">
        <f>(X189+X190)/2</f>
        <v>2475</v>
      </c>
      <c r="Y192" s="302" t="s">
        <v>350</v>
      </c>
      <c r="Z192" s="258">
        <f>SQRT(POWER(W195-W190,2)+POWER(X195-X190,2))</f>
        <v>1192.6860441876563</v>
      </c>
      <c r="AA192" s="259"/>
      <c r="AB192" s="302" t="s">
        <v>354</v>
      </c>
      <c r="AC192" s="258">
        <f>SQRT(POWER(W195-W191,2)+POWER(X195-X191,2))</f>
        <v>820.06097334283629</v>
      </c>
      <c r="AD192" s="259"/>
    </row>
    <row r="193" spans="3:36" x14ac:dyDescent="0.25">
      <c r="C193" s="399"/>
      <c r="D193" s="256">
        <v>1081.6876326193594</v>
      </c>
      <c r="E193" s="256">
        <v>1974.5929314446978</v>
      </c>
      <c r="F193" s="256">
        <v>1142.6587087043288</v>
      </c>
      <c r="G193" s="256">
        <v>1895.3305325342376</v>
      </c>
      <c r="H193" s="256" t="s">
        <v>11</v>
      </c>
      <c r="I193" s="261">
        <v>1</v>
      </c>
      <c r="M193" s="260" cm="1">
        <f t="array" ref="M193:N193">O191:P191</f>
        <v>13.9</v>
      </c>
      <c r="N193" s="256">
        <v>10</v>
      </c>
      <c r="O193" s="256">
        <f>M193</f>
        <v>13.9</v>
      </c>
      <c r="P193" s="256">
        <f>N193-8</f>
        <v>2</v>
      </c>
      <c r="S193" s="261"/>
      <c r="V193" s="305" t="s">
        <v>339</v>
      </c>
      <c r="W193" s="256">
        <f>(W190+W191)/2</f>
        <v>750</v>
      </c>
      <c r="X193" s="261">
        <f>(X190+X191)/2</f>
        <v>1500</v>
      </c>
      <c r="Y193" s="305" t="s">
        <v>351</v>
      </c>
      <c r="Z193" s="256">
        <f>Parametry!P40*'Obliczenia i dane'!Z192</f>
        <v>322.02523193066725</v>
      </c>
      <c r="AA193" s="261"/>
      <c r="AB193" s="305" t="s">
        <v>355</v>
      </c>
      <c r="AC193" s="256">
        <f>Parametry!P40*'Obliczenia i dane'!AC192</f>
        <v>221.4164628025658</v>
      </c>
      <c r="AD193" s="261"/>
    </row>
    <row r="194" spans="3:36" ht="15.75" thickBot="1" x14ac:dyDescent="0.3">
      <c r="C194" s="399"/>
      <c r="D194" s="256">
        <v>1142.6587087043288</v>
      </c>
      <c r="E194" s="256">
        <v>1895.3305325342376</v>
      </c>
      <c r="F194" s="256">
        <v>1150.5849485953747</v>
      </c>
      <c r="G194" s="256">
        <v>1901.4276401427346</v>
      </c>
      <c r="H194" s="256" t="s">
        <v>11</v>
      </c>
      <c r="I194" s="261">
        <v>1</v>
      </c>
      <c r="M194" s="260" cm="1">
        <f t="array" ref="M194:N194">O192:P192</f>
        <v>-13.9</v>
      </c>
      <c r="N194" s="256">
        <v>10</v>
      </c>
      <c r="O194" s="256">
        <f>M194</f>
        <v>-13.9</v>
      </c>
      <c r="P194" s="256">
        <f>N194-8</f>
        <v>2</v>
      </c>
      <c r="R194" s="364" t="s">
        <v>369</v>
      </c>
      <c r="S194" s="406"/>
      <c r="V194" s="319" t="s">
        <v>340</v>
      </c>
      <c r="W194" s="264">
        <f>(W189+W191)/2</f>
        <v>0</v>
      </c>
      <c r="X194" s="265">
        <f>(X189+X191)/2</f>
        <v>2475</v>
      </c>
      <c r="Y194" s="319" t="s">
        <v>352</v>
      </c>
      <c r="Z194" s="264">
        <f>-ATAN(Z190)</f>
        <v>0.57637522059118373</v>
      </c>
      <c r="AA194" s="265">
        <f>DEGREES(Z194)</f>
        <v>33.023867555796649</v>
      </c>
      <c r="AB194" s="319" t="s">
        <v>356</v>
      </c>
      <c r="AC194" s="264">
        <f>ATAN(Z191)</f>
        <v>0.91510070055336046</v>
      </c>
      <c r="AD194" s="265">
        <f>DEGREES(AC194)</f>
        <v>52.431407971172511</v>
      </c>
    </row>
    <row r="195" spans="3:36" ht="15.75" thickBot="1" x14ac:dyDescent="0.3">
      <c r="C195" s="399"/>
      <c r="D195" s="256">
        <v>1150.5849485953747</v>
      </c>
      <c r="E195" s="256">
        <v>1901.4276401427346</v>
      </c>
      <c r="F195" s="256">
        <v>1186.2530281050817</v>
      </c>
      <c r="G195" s="256">
        <v>1928.8646243809708</v>
      </c>
      <c r="H195" s="256" t="s">
        <v>12</v>
      </c>
      <c r="I195" s="261">
        <v>2</v>
      </c>
      <c r="M195" s="260">
        <f>M194-5</f>
        <v>-18.899999999999999</v>
      </c>
      <c r="N195" s="256">
        <f>P194</f>
        <v>2</v>
      </c>
      <c r="O195" s="256">
        <f>O193+5</f>
        <v>18.899999999999999</v>
      </c>
      <c r="P195" s="256">
        <f>P193</f>
        <v>2</v>
      </c>
      <c r="R195" s="283" t="s">
        <v>83</v>
      </c>
      <c r="S195" s="306" t="s">
        <v>84</v>
      </c>
      <c r="V195" s="313" t="s">
        <v>345</v>
      </c>
      <c r="W195" s="320">
        <f>(AA190-AA189)/(Z189-Z190)</f>
        <v>499.99999999999994</v>
      </c>
      <c r="X195" s="296">
        <f>W195*Z190+AA190</f>
        <v>2150</v>
      </c>
      <c r="AD195" s="261"/>
    </row>
    <row r="196" spans="3:36" x14ac:dyDescent="0.25">
      <c r="C196" s="399"/>
      <c r="D196" s="256">
        <v>1186.2530281050817</v>
      </c>
      <c r="E196" s="256">
        <v>1928.8646243809708</v>
      </c>
      <c r="F196" s="256">
        <v>1194.1792679961277</v>
      </c>
      <c r="G196" s="256">
        <v>1934.9617319894678</v>
      </c>
      <c r="H196" s="256" t="s">
        <v>11</v>
      </c>
      <c r="I196" s="261">
        <v>1</v>
      </c>
      <c r="M196" s="260" cm="1">
        <f t="array" ref="M196:N196">M195:N195</f>
        <v>-18.899999999999999</v>
      </c>
      <c r="N196" s="256">
        <v>2</v>
      </c>
      <c r="O196" s="256">
        <f>M196</f>
        <v>-18.899999999999999</v>
      </c>
      <c r="P196" s="256">
        <v>0</v>
      </c>
      <c r="R196" s="256">
        <f>D69+Parametry!Q40</f>
        <v>210</v>
      </c>
      <c r="S196" s="261">
        <f>G71</f>
        <v>1433</v>
      </c>
      <c r="V196" s="302" t="s">
        <v>349</v>
      </c>
      <c r="W196" s="258">
        <f>W195-AC190*COS(AC191)</f>
        <v>364.99999999999994</v>
      </c>
      <c r="X196" s="259">
        <f>X195+AC190*SIN(AC191)</f>
        <v>2501</v>
      </c>
      <c r="AD196" s="261"/>
    </row>
    <row r="197" spans="3:36" x14ac:dyDescent="0.25">
      <c r="C197" s="399"/>
      <c r="D197" s="256">
        <v>1194.1792679961277</v>
      </c>
      <c r="E197" s="256">
        <v>1934.9617319894678</v>
      </c>
      <c r="F197" s="256">
        <v>1133.2081919111583</v>
      </c>
      <c r="G197" s="256">
        <v>2014.2241308999278</v>
      </c>
      <c r="H197" s="256" t="s">
        <v>11</v>
      </c>
      <c r="I197" s="261">
        <v>1</v>
      </c>
      <c r="M197" s="260" cm="1">
        <f t="array" ref="M197:N197">O195:P195</f>
        <v>18.899999999999999</v>
      </c>
      <c r="N197" s="256">
        <v>2</v>
      </c>
      <c r="O197" s="256">
        <f>M197</f>
        <v>18.899999999999999</v>
      </c>
      <c r="P197" s="256">
        <v>0</v>
      </c>
      <c r="S197" s="261"/>
      <c r="V197" s="305" t="s">
        <v>353</v>
      </c>
      <c r="W197" s="256">
        <f>W195+Z193*COS(Z194)</f>
        <v>770</v>
      </c>
      <c r="X197" s="261">
        <f>X195-Z193*SIN(Z194)</f>
        <v>1974.5</v>
      </c>
      <c r="AD197" s="261"/>
    </row>
    <row r="198" spans="3:36" ht="15.75" thickBot="1" x14ac:dyDescent="0.3">
      <c r="C198" s="400"/>
      <c r="D198" s="264">
        <v>1086.4128910159445</v>
      </c>
      <c r="E198" s="264">
        <v>1915.1461322618527</v>
      </c>
      <c r="F198" s="264">
        <v>1189.4540095995426</v>
      </c>
      <c r="G198" s="264">
        <v>1994.4085311723127</v>
      </c>
      <c r="H198" s="264" t="s">
        <v>8</v>
      </c>
      <c r="I198" s="265">
        <v>1.5</v>
      </c>
      <c r="M198" s="260" cm="1">
        <f t="array" ref="M198:N198">O196:P196</f>
        <v>-18.899999999999999</v>
      </c>
      <c r="N198" s="256">
        <v>0</v>
      </c>
      <c r="O198" s="256" cm="1">
        <f t="array" ref="O198:P198">O197:P197</f>
        <v>18.899999999999999</v>
      </c>
      <c r="P198" s="256">
        <v>0</v>
      </c>
      <c r="S198" s="261"/>
      <c r="V198" s="319" t="s">
        <v>357</v>
      </c>
      <c r="W198" s="264">
        <f>W195-AC193*COS(AC194)</f>
        <v>364.99999999999994</v>
      </c>
      <c r="X198" s="265">
        <f>X195-AC193*SIN(AC194)</f>
        <v>1974.5</v>
      </c>
      <c r="Y198" s="264"/>
      <c r="Z198" s="264"/>
      <c r="AA198" s="264"/>
      <c r="AB198" s="264"/>
      <c r="AC198" s="264"/>
      <c r="AD198" s="265"/>
    </row>
    <row r="199" spans="3:36" x14ac:dyDescent="0.25">
      <c r="C199" s="391" t="s">
        <v>320</v>
      </c>
      <c r="D199" s="258" t="str" cm="1">
        <f t="array" ref="D199:G207">AK120:AN128</f>
        <v>-</v>
      </c>
      <c r="E199" s="258" t="str">
        <v>-</v>
      </c>
      <c r="F199" s="258" t="str">
        <v>-</v>
      </c>
      <c r="G199" s="258" t="str">
        <v>-</v>
      </c>
      <c r="H199" s="258" t="s">
        <v>11</v>
      </c>
      <c r="I199" s="259">
        <v>1</v>
      </c>
      <c r="M199" s="260">
        <f>-6.95</f>
        <v>-6.95</v>
      </c>
      <c r="N199" s="256">
        <f>N190</f>
        <v>12</v>
      </c>
      <c r="O199" s="256">
        <f>M199</f>
        <v>-6.95</v>
      </c>
      <c r="P199" s="256">
        <f>P194</f>
        <v>2</v>
      </c>
      <c r="S199" s="261"/>
    </row>
    <row r="200" spans="3:36" ht="15.75" thickBot="1" x14ac:dyDescent="0.3">
      <c r="C200" s="399"/>
      <c r="D200" s="256">
        <v>0</v>
      </c>
      <c r="E200" s="256">
        <v>0</v>
      </c>
      <c r="F200" s="256">
        <v>0</v>
      </c>
      <c r="G200" s="256">
        <v>0</v>
      </c>
      <c r="H200" s="256" t="s">
        <v>12</v>
      </c>
      <c r="I200" s="261">
        <v>2</v>
      </c>
      <c r="M200" s="260">
        <f>-M199</f>
        <v>6.95</v>
      </c>
      <c r="N200" s="256">
        <f>N199</f>
        <v>12</v>
      </c>
      <c r="O200" s="256">
        <f>M200</f>
        <v>6.95</v>
      </c>
      <c r="P200" s="256">
        <f>P199</f>
        <v>2</v>
      </c>
      <c r="S200" s="261"/>
    </row>
    <row r="201" spans="3:36" x14ac:dyDescent="0.25">
      <c r="C201" s="399"/>
      <c r="D201" s="256">
        <v>0</v>
      </c>
      <c r="E201" s="256">
        <v>0</v>
      </c>
      <c r="F201" s="256">
        <v>0</v>
      </c>
      <c r="G201" s="256">
        <v>0</v>
      </c>
      <c r="H201" s="256" t="s">
        <v>11</v>
      </c>
      <c r="I201" s="261">
        <v>1</v>
      </c>
      <c r="M201" s="260">
        <v>-8</v>
      </c>
      <c r="N201" s="256">
        <v>0</v>
      </c>
      <c r="O201" s="256">
        <f>M201</f>
        <v>-8</v>
      </c>
      <c r="P201" s="256">
        <f>N201-S191</f>
        <v>-19</v>
      </c>
      <c r="Q201" s="256" t="s">
        <v>365</v>
      </c>
      <c r="T201" s="394" t="s">
        <v>375</v>
      </c>
      <c r="U201" s="395"/>
      <c r="V201" s="395"/>
      <c r="W201" s="395"/>
      <c r="X201" s="395"/>
      <c r="Y201" s="395"/>
      <c r="Z201" s="395"/>
      <c r="AA201" s="395"/>
      <c r="AB201" s="395"/>
      <c r="AC201" s="395"/>
      <c r="AD201" s="395"/>
      <c r="AE201" s="395"/>
      <c r="AF201" s="395"/>
      <c r="AG201" s="395"/>
      <c r="AH201" s="395"/>
      <c r="AI201" s="395"/>
      <c r="AJ201" s="396"/>
    </row>
    <row r="202" spans="3:36" ht="15.75" thickBot="1" x14ac:dyDescent="0.3">
      <c r="C202" s="399"/>
      <c r="D202" s="256">
        <v>0</v>
      </c>
      <c r="E202" s="256">
        <v>0</v>
      </c>
      <c r="F202" s="256">
        <v>0</v>
      </c>
      <c r="G202" s="256">
        <v>0</v>
      </c>
      <c r="H202" s="256" t="s">
        <v>11</v>
      </c>
      <c r="I202" s="261">
        <v>1</v>
      </c>
      <c r="M202" s="260">
        <f>-M201</f>
        <v>8</v>
      </c>
      <c r="N202" s="256">
        <v>0</v>
      </c>
      <c r="O202" s="256">
        <f>M202</f>
        <v>8</v>
      </c>
      <c r="P202" s="256">
        <f>P201</f>
        <v>-19</v>
      </c>
      <c r="Q202" s="256" t="s">
        <v>365</v>
      </c>
      <c r="T202" s="260"/>
      <c r="U202" s="415" t="s">
        <v>390</v>
      </c>
      <c r="V202" s="415"/>
      <c r="W202" s="415"/>
      <c r="X202" s="415"/>
      <c r="AB202" s="364" t="s">
        <v>422</v>
      </c>
      <c r="AC202" s="364"/>
      <c r="AD202" s="364"/>
      <c r="AE202" s="364"/>
      <c r="AG202" s="364" t="s">
        <v>425</v>
      </c>
      <c r="AH202" s="364"/>
      <c r="AI202" s="364"/>
      <c r="AJ202" s="406"/>
    </row>
    <row r="203" spans="3:36" x14ac:dyDescent="0.25">
      <c r="C203" s="399"/>
      <c r="D203" s="256">
        <v>0</v>
      </c>
      <c r="E203" s="256">
        <v>0</v>
      </c>
      <c r="F203" s="256">
        <v>0</v>
      </c>
      <c r="G203" s="256">
        <v>0</v>
      </c>
      <c r="H203" s="256" t="s">
        <v>11</v>
      </c>
      <c r="I203" s="261">
        <v>1</v>
      </c>
      <c r="M203" s="260">
        <f>M198</f>
        <v>-18.899999999999999</v>
      </c>
      <c r="N203" s="256">
        <f>P202</f>
        <v>-19</v>
      </c>
      <c r="O203" s="256">
        <f>-M203</f>
        <v>18.899999999999999</v>
      </c>
      <c r="P203" s="256">
        <f>N203</f>
        <v>-19</v>
      </c>
      <c r="T203" s="407" t="s">
        <v>389</v>
      </c>
      <c r="U203" s="258">
        <f>-Parametry!G29/2</f>
        <v>-60</v>
      </c>
      <c r="V203" s="258">
        <v>0</v>
      </c>
      <c r="W203" s="258">
        <f>-U203</f>
        <v>60</v>
      </c>
      <c r="X203" s="259">
        <v>0</v>
      </c>
      <c r="Y203" s="302" t="s">
        <v>423</v>
      </c>
      <c r="Z203" s="258" cm="1">
        <f t="array" ref="Z203:AA204">AG179:AH180</f>
        <v>-5.3070137051935218</v>
      </c>
      <c r="AA203" s="258">
        <v>3525.8144815027645</v>
      </c>
      <c r="AB203" s="257">
        <f>$Z$203+U203*COS($Z$205)-V203*SIN($Z$205)</f>
        <v>-65.160551733691122</v>
      </c>
      <c r="AC203" s="258">
        <f>$AA$203+U203*SIN($Z$205)+V203*COS($Z$205)</f>
        <v>3521.6247338407697</v>
      </c>
      <c r="AD203" s="258">
        <f>$Z$203+W203*COS($Z$205)-X203*SIN($Z$205)</f>
        <v>54.546524323304084</v>
      </c>
      <c r="AE203" s="259">
        <f>$AA$203+W203*SIN($Z$205)+X203*COS($Z$205)</f>
        <v>3530.0042291647592</v>
      </c>
      <c r="AG203" s="257">
        <f>$Z$204+U203*COS($Z$205)-V203*SIN($Z$205)</f>
        <v>2934.8394482663093</v>
      </c>
      <c r="AH203" s="258">
        <f>$AA$204+U203*SIN($Z$205)+V203*COS($Z$205)</f>
        <v>3731.6247338407688</v>
      </c>
      <c r="AI203" s="258">
        <f>$Z$204+W203*COS($Z$205)-X203*SIN($Z$205)</f>
        <v>3054.5465243233043</v>
      </c>
      <c r="AJ203" s="259">
        <f>$AA$204+W203*SIN($Z$205)+X203*COS($Z$205)</f>
        <v>3740.0042291647583</v>
      </c>
    </row>
    <row r="204" spans="3:36" x14ac:dyDescent="0.25">
      <c r="C204" s="399"/>
      <c r="D204" s="256">
        <v>0</v>
      </c>
      <c r="E204" s="256">
        <v>0</v>
      </c>
      <c r="F204" s="256">
        <v>0</v>
      </c>
      <c r="G204" s="256">
        <v>0</v>
      </c>
      <c r="H204" s="256" t="s">
        <v>12</v>
      </c>
      <c r="I204" s="261">
        <v>2</v>
      </c>
      <c r="M204" s="260">
        <f>M203</f>
        <v>-18.899999999999999</v>
      </c>
      <c r="N204" s="256">
        <f>N203</f>
        <v>-19</v>
      </c>
      <c r="O204" s="256">
        <f>M204</f>
        <v>-18.899999999999999</v>
      </c>
      <c r="P204" s="256">
        <f>N204-2</f>
        <v>-21</v>
      </c>
      <c r="T204" s="408"/>
      <c r="U204" s="256" cm="1">
        <f t="array" ref="U204:V204">U203:V203</f>
        <v>-60</v>
      </c>
      <c r="V204" s="256">
        <v>0</v>
      </c>
      <c r="W204" s="256">
        <f>U204</f>
        <v>-60</v>
      </c>
      <c r="X204" s="261">
        <f>V204+Parametry!I29</f>
        <v>9.8000000000000007</v>
      </c>
      <c r="Y204" s="305" t="s">
        <v>424</v>
      </c>
      <c r="Z204" s="256">
        <v>2994.6929862948068</v>
      </c>
      <c r="AA204" s="256">
        <v>3735.8144815027636</v>
      </c>
      <c r="AB204" s="260">
        <f t="shared" ref="AB204:AB267" si="45">$Z$203+U204*COS($Z$205)-V204*SIN($Z$205)</f>
        <v>-65.160551733691122</v>
      </c>
      <c r="AC204" s="256">
        <f t="shared" ref="AC204:AC267" si="46">$AA$203+U204*SIN($Z$205)+V204*COS($Z$205)</f>
        <v>3521.6247338407697</v>
      </c>
      <c r="AD204" s="256">
        <f t="shared" ref="AD204:AD267" si="47">$Z$203+W204*COS($Z$205)-X204*SIN($Z$205)</f>
        <v>-65.844877185150281</v>
      </c>
      <c r="AE204" s="261">
        <f t="shared" ref="AE204:AE267" si="48">$AA$203+W204*SIN($Z$205)+X204*COS($Z$205)</f>
        <v>3531.4008117187577</v>
      </c>
      <c r="AG204" s="260">
        <f t="shared" ref="AG204:AG267" si="49">$Z$204+U204*COS($Z$205)-V204*SIN($Z$205)</f>
        <v>2934.8394482663093</v>
      </c>
      <c r="AH204" s="256">
        <f t="shared" ref="AH204:AH267" si="50">$AA$204+U204*SIN($Z$205)+V204*COS($Z$205)</f>
        <v>3731.6247338407688</v>
      </c>
      <c r="AI204" s="256">
        <f t="shared" ref="AI204:AI267" si="51">$Z$204+W204*COS($Z$205)-X204*SIN($Z$205)</f>
        <v>2934.1551228148501</v>
      </c>
      <c r="AJ204" s="261">
        <f t="shared" ref="AJ204:AJ267" si="52">$AA$204+W204*SIN($Z$205)+X204*COS($Z$205)</f>
        <v>3741.4008117187568</v>
      </c>
    </row>
    <row r="205" spans="3:36" ht="15.75" thickBot="1" x14ac:dyDescent="0.3">
      <c r="C205" s="399"/>
      <c r="D205" s="256">
        <v>0</v>
      </c>
      <c r="E205" s="256">
        <v>0</v>
      </c>
      <c r="F205" s="256">
        <v>0</v>
      </c>
      <c r="G205" s="256">
        <v>0</v>
      </c>
      <c r="H205" s="256" t="s">
        <v>11</v>
      </c>
      <c r="I205" s="261">
        <v>1</v>
      </c>
      <c r="M205" s="260" cm="1">
        <f t="array" ref="M205:N205">O203:P203</f>
        <v>18.899999999999999</v>
      </c>
      <c r="N205" s="256">
        <v>-19</v>
      </c>
      <c r="O205" s="256">
        <f>M205</f>
        <v>18.899999999999999</v>
      </c>
      <c r="P205" s="256">
        <f>P204</f>
        <v>-21</v>
      </c>
      <c r="T205" s="408"/>
      <c r="U205" s="256" cm="1">
        <f t="array" ref="U205:V205">W203:X203</f>
        <v>60</v>
      </c>
      <c r="V205" s="256">
        <v>0</v>
      </c>
      <c r="W205" s="256">
        <f>U205</f>
        <v>60</v>
      </c>
      <c r="X205" s="261">
        <f>X204</f>
        <v>9.8000000000000007</v>
      </c>
      <c r="Y205" s="319" t="s">
        <v>302</v>
      </c>
      <c r="Z205" s="264">
        <f>AR7</f>
        <v>6.9886001634642508E-2</v>
      </c>
      <c r="AA205" s="264"/>
      <c r="AB205" s="260">
        <f t="shared" si="45"/>
        <v>54.546524323304084</v>
      </c>
      <c r="AC205" s="256">
        <f t="shared" si="46"/>
        <v>3530.0042291647592</v>
      </c>
      <c r="AD205" s="256">
        <f t="shared" si="47"/>
        <v>53.862198871844924</v>
      </c>
      <c r="AE205" s="261">
        <f t="shared" si="48"/>
        <v>3539.7803070427472</v>
      </c>
      <c r="AG205" s="260">
        <f t="shared" si="49"/>
        <v>3054.5465243233043</v>
      </c>
      <c r="AH205" s="256">
        <f t="shared" si="50"/>
        <v>3740.0042291647583</v>
      </c>
      <c r="AI205" s="256">
        <f t="shared" si="51"/>
        <v>3053.8621988718451</v>
      </c>
      <c r="AJ205" s="261">
        <f t="shared" si="52"/>
        <v>3749.7803070427462</v>
      </c>
    </row>
    <row r="206" spans="3:36" x14ac:dyDescent="0.25">
      <c r="C206" s="399"/>
      <c r="D206" s="256">
        <v>0</v>
      </c>
      <c r="E206" s="256">
        <v>0</v>
      </c>
      <c r="F206" s="256">
        <v>0</v>
      </c>
      <c r="G206" s="256">
        <v>0</v>
      </c>
      <c r="H206" s="256" t="s">
        <v>11</v>
      </c>
      <c r="I206" s="261">
        <v>1</v>
      </c>
      <c r="M206" s="260" cm="1">
        <f t="array" ref="M206:N206">O204:P204</f>
        <v>-18.899999999999999</v>
      </c>
      <c r="N206" s="256">
        <v>-21</v>
      </c>
      <c r="O206" s="256" cm="1">
        <f t="array" ref="O206:P206">O205:P205</f>
        <v>18.899999999999999</v>
      </c>
      <c r="P206" s="256">
        <v>-21</v>
      </c>
      <c r="T206" s="408"/>
      <c r="U206" s="256" cm="1">
        <f t="array" ref="U206:V206">W204:X204</f>
        <v>-60</v>
      </c>
      <c r="V206" s="256">
        <v>9.8000000000000007</v>
      </c>
      <c r="W206" s="256">
        <f>U206+(Parametry!G29-Parametry!H29)/2-Parametry!J29</f>
        <v>-18.100000000000001</v>
      </c>
      <c r="X206" s="261">
        <f>V206</f>
        <v>9.8000000000000007</v>
      </c>
      <c r="AB206" s="260">
        <f t="shared" si="45"/>
        <v>-65.844877185150281</v>
      </c>
      <c r="AC206" s="256">
        <f t="shared" si="46"/>
        <v>3531.4008117187577</v>
      </c>
      <c r="AD206" s="256">
        <f t="shared" si="47"/>
        <v>-24.047156461916124</v>
      </c>
      <c r="AE206" s="261">
        <f t="shared" si="48"/>
        <v>3534.326652169384</v>
      </c>
      <c r="AG206" s="260">
        <f t="shared" si="49"/>
        <v>2934.1551228148501</v>
      </c>
      <c r="AH206" s="256">
        <f t="shared" si="50"/>
        <v>3741.4008117187568</v>
      </c>
      <c r="AI206" s="256">
        <f t="shared" si="51"/>
        <v>2975.9528435380839</v>
      </c>
      <c r="AJ206" s="261">
        <f t="shared" si="52"/>
        <v>3744.3266521693831</v>
      </c>
    </row>
    <row r="207" spans="3:36" ht="15.75" thickBot="1" x14ac:dyDescent="0.3">
      <c r="C207" s="400"/>
      <c r="D207" s="264">
        <v>0</v>
      </c>
      <c r="E207" s="264">
        <v>0</v>
      </c>
      <c r="F207" s="264">
        <v>0</v>
      </c>
      <c r="G207" s="264">
        <v>0</v>
      </c>
      <c r="H207" s="264" t="s">
        <v>8</v>
      </c>
      <c r="I207" s="265">
        <v>1.5</v>
      </c>
      <c r="M207" s="260">
        <f>M206+7</f>
        <v>-11.899999999999999</v>
      </c>
      <c r="N207" s="256">
        <f>N206</f>
        <v>-21</v>
      </c>
      <c r="O207" s="256">
        <f>M207-2</f>
        <v>-13.899999999999999</v>
      </c>
      <c r="P207" s="256">
        <f>N207-2</f>
        <v>-23</v>
      </c>
      <c r="T207" s="408"/>
      <c r="U207" s="256" cm="1">
        <f t="array" ref="U207:V207">W205:X205</f>
        <v>60</v>
      </c>
      <c r="V207" s="256">
        <v>9.8000000000000007</v>
      </c>
      <c r="W207" s="256">
        <f>-W206</f>
        <v>18.100000000000001</v>
      </c>
      <c r="X207" s="261">
        <f>X206</f>
        <v>9.8000000000000007</v>
      </c>
      <c r="AB207" s="260">
        <f t="shared" si="45"/>
        <v>53.862198871844924</v>
      </c>
      <c r="AC207" s="256">
        <f t="shared" si="46"/>
        <v>3539.7803070427472</v>
      </c>
      <c r="AD207" s="256">
        <f t="shared" si="47"/>
        <v>12.064478148610768</v>
      </c>
      <c r="AE207" s="261">
        <f t="shared" si="48"/>
        <v>3536.8544665921208</v>
      </c>
      <c r="AG207" s="260">
        <f t="shared" si="49"/>
        <v>3053.8621988718451</v>
      </c>
      <c r="AH207" s="256">
        <f t="shared" si="50"/>
        <v>3749.7803070427462</v>
      </c>
      <c r="AI207" s="256">
        <f t="shared" si="51"/>
        <v>3012.0644781486112</v>
      </c>
      <c r="AJ207" s="261">
        <f t="shared" si="52"/>
        <v>3746.8544665921199</v>
      </c>
    </row>
    <row r="208" spans="3:36" x14ac:dyDescent="0.25">
      <c r="C208" s="391" t="s">
        <v>321</v>
      </c>
      <c r="D208" s="258" t="str" cm="1">
        <f t="array" ref="D208:G216">AK130:AN138</f>
        <v>-</v>
      </c>
      <c r="E208" s="258" t="str">
        <v>-</v>
      </c>
      <c r="F208" s="258" t="str">
        <v>-</v>
      </c>
      <c r="G208" s="258" t="str">
        <v>-</v>
      </c>
      <c r="H208" s="258" t="s">
        <v>11</v>
      </c>
      <c r="I208" s="259">
        <v>1</v>
      </c>
      <c r="M208" s="260">
        <f>-M207</f>
        <v>11.899999999999999</v>
      </c>
      <c r="N208" s="256">
        <f>N207</f>
        <v>-21</v>
      </c>
      <c r="O208" s="256">
        <f>-O207</f>
        <v>13.899999999999999</v>
      </c>
      <c r="P208" s="256">
        <f>P207</f>
        <v>-23</v>
      </c>
      <c r="T208" s="408"/>
      <c r="U208" s="256">
        <f>W206+Parametry!J29</f>
        <v>-3.1000000000000014</v>
      </c>
      <c r="V208" s="256">
        <f>X206+Parametry!J29</f>
        <v>24.8</v>
      </c>
      <c r="W208" s="256">
        <f>U208</f>
        <v>-3.1000000000000014</v>
      </c>
      <c r="X208" s="261">
        <f>Parametry!F29-Parametry!I29-Parametry!J29</f>
        <v>215.2</v>
      </c>
      <c r="AB208" s="260">
        <f t="shared" si="45"/>
        <v>-10.131208870290431</v>
      </c>
      <c r="AC208" s="256">
        <f t="shared" si="46"/>
        <v>3550.337473592007</v>
      </c>
      <c r="AD208" s="256">
        <f t="shared" si="47"/>
        <v>-23.426674784354034</v>
      </c>
      <c r="AE208" s="261">
        <f t="shared" si="48"/>
        <v>3740.2727009357727</v>
      </c>
      <c r="AG208" s="260">
        <f t="shared" si="49"/>
        <v>2989.8687911297097</v>
      </c>
      <c r="AH208" s="256">
        <f t="shared" si="50"/>
        <v>3760.3374735920061</v>
      </c>
      <c r="AI208" s="256">
        <f t="shared" si="51"/>
        <v>2976.573325215646</v>
      </c>
      <c r="AJ208" s="261">
        <f t="shared" si="52"/>
        <v>3950.2727009357718</v>
      </c>
    </row>
    <row r="209" spans="3:36" x14ac:dyDescent="0.25">
      <c r="C209" s="399"/>
      <c r="D209" s="256">
        <v>0</v>
      </c>
      <c r="E209" s="256">
        <v>0</v>
      </c>
      <c r="F209" s="256">
        <v>0</v>
      </c>
      <c r="G209" s="256">
        <v>0</v>
      </c>
      <c r="H209" s="256" t="s">
        <v>12</v>
      </c>
      <c r="I209" s="261">
        <v>2</v>
      </c>
      <c r="M209" s="260">
        <f>O208</f>
        <v>13.899999999999999</v>
      </c>
      <c r="N209" s="256">
        <f>P208</f>
        <v>-23</v>
      </c>
      <c r="O209" s="256">
        <f>M209</f>
        <v>13.899999999999999</v>
      </c>
      <c r="P209" s="256">
        <f>N209-9</f>
        <v>-32</v>
      </c>
      <c r="T209" s="408"/>
      <c r="U209" s="256">
        <f>W207-Parametry!J29</f>
        <v>3.1000000000000014</v>
      </c>
      <c r="V209" s="256">
        <f>V208</f>
        <v>24.8</v>
      </c>
      <c r="W209" s="256">
        <f>U209</f>
        <v>3.1000000000000014</v>
      </c>
      <c r="X209" s="261">
        <f>X208</f>
        <v>215.2</v>
      </c>
      <c r="AB209" s="260">
        <f t="shared" si="45"/>
        <v>-3.9463432740123419</v>
      </c>
      <c r="AC209" s="256">
        <f t="shared" si="46"/>
        <v>3550.7704141837467</v>
      </c>
      <c r="AD209" s="256">
        <f t="shared" si="47"/>
        <v>-17.241809188075944</v>
      </c>
      <c r="AE209" s="261">
        <f t="shared" si="48"/>
        <v>3740.7056415275124</v>
      </c>
      <c r="AG209" s="260">
        <f t="shared" si="49"/>
        <v>2996.0536567259883</v>
      </c>
      <c r="AH209" s="256">
        <f t="shared" si="50"/>
        <v>3760.7704141837457</v>
      </c>
      <c r="AI209" s="256">
        <f t="shared" si="51"/>
        <v>2982.7581908119246</v>
      </c>
      <c r="AJ209" s="261">
        <f t="shared" si="52"/>
        <v>3950.7056415275115</v>
      </c>
    </row>
    <row r="210" spans="3:36" x14ac:dyDescent="0.25">
      <c r="C210" s="399"/>
      <c r="D210" s="256">
        <v>0</v>
      </c>
      <c r="E210" s="256">
        <v>0</v>
      </c>
      <c r="F210" s="256">
        <v>0</v>
      </c>
      <c r="G210" s="256">
        <v>0</v>
      </c>
      <c r="H210" s="256" t="s">
        <v>11</v>
      </c>
      <c r="I210" s="261">
        <v>1</v>
      </c>
      <c r="M210" s="260">
        <f>-M209</f>
        <v>-13.899999999999999</v>
      </c>
      <c r="N210" s="256">
        <f>N209</f>
        <v>-23</v>
      </c>
      <c r="O210" s="256">
        <f>M210</f>
        <v>-13.899999999999999</v>
      </c>
      <c r="P210" s="256">
        <f>P209</f>
        <v>-32</v>
      </c>
      <c r="T210" s="408"/>
      <c r="U210" s="256">
        <f>W206</f>
        <v>-18.100000000000001</v>
      </c>
      <c r="V210" s="256">
        <f>Parametry!F29-Parametry!I29</f>
        <v>230.2</v>
      </c>
      <c r="W210" s="256">
        <f>U203</f>
        <v>-60</v>
      </c>
      <c r="X210" s="261">
        <f>V210</f>
        <v>230.2</v>
      </c>
      <c r="AB210" s="260">
        <f t="shared" si="45"/>
        <v>-39.437496206977144</v>
      </c>
      <c r="AC210" s="256">
        <f t="shared" si="46"/>
        <v>3754.1886485273985</v>
      </c>
      <c r="AD210" s="256">
        <f t="shared" si="47"/>
        <v>-81.235216930211294</v>
      </c>
      <c r="AE210" s="261">
        <f t="shared" si="48"/>
        <v>3751.2628080767722</v>
      </c>
      <c r="AG210" s="260">
        <f t="shared" si="49"/>
        <v>2960.5625037930231</v>
      </c>
      <c r="AH210" s="256">
        <f t="shared" si="50"/>
        <v>3964.1886485273976</v>
      </c>
      <c r="AI210" s="256">
        <f t="shared" si="51"/>
        <v>2918.7647830697892</v>
      </c>
      <c r="AJ210" s="261">
        <f t="shared" si="52"/>
        <v>3961.2628080767713</v>
      </c>
    </row>
    <row r="211" spans="3:36" x14ac:dyDescent="0.25">
      <c r="C211" s="399"/>
      <c r="D211" s="256">
        <v>0</v>
      </c>
      <c r="E211" s="256">
        <v>0</v>
      </c>
      <c r="F211" s="256">
        <v>0</v>
      </c>
      <c r="G211" s="256">
        <v>0</v>
      </c>
      <c r="H211" s="256" t="s">
        <v>11</v>
      </c>
      <c r="I211" s="261">
        <v>1</v>
      </c>
      <c r="M211" s="260" cm="1">
        <f t="array" ref="M211:N211">O210:P210</f>
        <v>-13.899999999999999</v>
      </c>
      <c r="N211" s="256">
        <v>-32</v>
      </c>
      <c r="O211" s="256">
        <f>M211+2</f>
        <v>-11.899999999999999</v>
      </c>
      <c r="P211" s="256">
        <f>N211-2</f>
        <v>-34</v>
      </c>
      <c r="T211" s="408"/>
      <c r="U211" s="256">
        <f>W207</f>
        <v>18.100000000000001</v>
      </c>
      <c r="V211" s="256">
        <f>V210</f>
        <v>230.2</v>
      </c>
      <c r="W211" s="256">
        <f>U205</f>
        <v>60</v>
      </c>
      <c r="X211" s="261">
        <f>X210</f>
        <v>230.2</v>
      </c>
      <c r="AB211" s="260">
        <f t="shared" si="45"/>
        <v>-3.3258615964502525</v>
      </c>
      <c r="AC211" s="256">
        <f t="shared" si="46"/>
        <v>3756.7164629501353</v>
      </c>
      <c r="AD211" s="256">
        <f t="shared" si="47"/>
        <v>38.471859126783912</v>
      </c>
      <c r="AE211" s="261">
        <f t="shared" si="48"/>
        <v>3759.6423034007616</v>
      </c>
      <c r="AG211" s="260">
        <f t="shared" si="49"/>
        <v>2996.6741384035504</v>
      </c>
      <c r="AH211" s="256">
        <f t="shared" si="50"/>
        <v>3966.7164629501344</v>
      </c>
      <c r="AI211" s="256">
        <f t="shared" si="51"/>
        <v>3038.4718591267842</v>
      </c>
      <c r="AJ211" s="261">
        <f t="shared" si="52"/>
        <v>3969.6423034007607</v>
      </c>
    </row>
    <row r="212" spans="3:36" x14ac:dyDescent="0.25">
      <c r="C212" s="399"/>
      <c r="D212" s="256">
        <v>0</v>
      </c>
      <c r="E212" s="256">
        <v>0</v>
      </c>
      <c r="F212" s="256">
        <v>0</v>
      </c>
      <c r="G212" s="256">
        <v>0</v>
      </c>
      <c r="H212" s="256" t="s">
        <v>11</v>
      </c>
      <c r="I212" s="261">
        <v>1</v>
      </c>
      <c r="M212" s="260" cm="1">
        <f t="array" ref="M212:N212">O209:P209</f>
        <v>13.899999999999999</v>
      </c>
      <c r="N212" s="256">
        <v>-32</v>
      </c>
      <c r="O212" s="256">
        <f>-O211</f>
        <v>11.899999999999999</v>
      </c>
      <c r="P212" s="256">
        <f>P211</f>
        <v>-34</v>
      </c>
      <c r="T212" s="408"/>
      <c r="U212" s="256" cm="1">
        <f t="array" ref="U212:V212">W210:X210</f>
        <v>-60</v>
      </c>
      <c r="V212" s="256">
        <v>230.2</v>
      </c>
      <c r="W212" s="256">
        <f>U212</f>
        <v>-60</v>
      </c>
      <c r="X212" s="261">
        <f>Parametry!F29</f>
        <v>240</v>
      </c>
      <c r="AB212" s="260">
        <f t="shared" si="45"/>
        <v>-81.235216930211294</v>
      </c>
      <c r="AC212" s="256">
        <f t="shared" si="46"/>
        <v>3751.2628080767722</v>
      </c>
      <c r="AD212" s="256">
        <f t="shared" si="47"/>
        <v>-81.919542381670453</v>
      </c>
      <c r="AE212" s="261">
        <f t="shared" si="48"/>
        <v>3761.0388859547602</v>
      </c>
      <c r="AG212" s="260">
        <f t="shared" si="49"/>
        <v>2918.7647830697892</v>
      </c>
      <c r="AH212" s="256">
        <f t="shared" si="50"/>
        <v>3961.2628080767713</v>
      </c>
      <c r="AI212" s="256">
        <f t="shared" si="51"/>
        <v>2918.08045761833</v>
      </c>
      <c r="AJ212" s="261">
        <f t="shared" si="52"/>
        <v>3971.0388859547593</v>
      </c>
    </row>
    <row r="213" spans="3:36" x14ac:dyDescent="0.25">
      <c r="C213" s="399"/>
      <c r="D213" s="256">
        <v>0</v>
      </c>
      <c r="E213" s="256">
        <v>0</v>
      </c>
      <c r="F213" s="256">
        <v>0</v>
      </c>
      <c r="G213" s="256">
        <v>0</v>
      </c>
      <c r="H213" s="256" t="s">
        <v>12</v>
      </c>
      <c r="I213" s="261">
        <v>2</v>
      </c>
      <c r="M213" s="260" cm="1">
        <f t="array" ref="M213:N213">O211:P211</f>
        <v>-11.899999999999999</v>
      </c>
      <c r="N213" s="256">
        <v>-34</v>
      </c>
      <c r="O213" s="256" cm="1">
        <f t="array" ref="O213:P213">O212:P212</f>
        <v>11.899999999999999</v>
      </c>
      <c r="P213" s="256">
        <v>-34</v>
      </c>
      <c r="T213" s="408"/>
      <c r="U213" s="256" cm="1">
        <f t="array" ref="U213:V213">W211:X211</f>
        <v>60</v>
      </c>
      <c r="V213" s="256">
        <v>230.2</v>
      </c>
      <c r="W213" s="256">
        <f>U213</f>
        <v>60</v>
      </c>
      <c r="X213" s="261">
        <f>X212</f>
        <v>240</v>
      </c>
      <c r="AB213" s="260">
        <f t="shared" si="45"/>
        <v>38.471859126783912</v>
      </c>
      <c r="AC213" s="256">
        <f t="shared" si="46"/>
        <v>3759.6423034007616</v>
      </c>
      <c r="AD213" s="256">
        <f t="shared" si="47"/>
        <v>37.787533675324752</v>
      </c>
      <c r="AE213" s="261">
        <f t="shared" si="48"/>
        <v>3769.4183812787496</v>
      </c>
      <c r="AG213" s="260">
        <f t="shared" si="49"/>
        <v>3038.4718591267842</v>
      </c>
      <c r="AH213" s="256">
        <f t="shared" si="50"/>
        <v>3969.6423034007607</v>
      </c>
      <c r="AI213" s="256">
        <f t="shared" si="51"/>
        <v>3037.787533675325</v>
      </c>
      <c r="AJ213" s="261">
        <f t="shared" si="52"/>
        <v>3979.4183812787487</v>
      </c>
    </row>
    <row r="214" spans="3:36" ht="15.75" thickBot="1" x14ac:dyDescent="0.3">
      <c r="C214" s="399"/>
      <c r="D214" s="256">
        <v>0</v>
      </c>
      <c r="E214" s="256">
        <v>0</v>
      </c>
      <c r="F214" s="256">
        <v>0</v>
      </c>
      <c r="G214" s="256">
        <v>0</v>
      </c>
      <c r="H214" s="256" t="s">
        <v>11</v>
      </c>
      <c r="I214" s="261">
        <v>1</v>
      </c>
      <c r="M214" s="260">
        <f>M199</f>
        <v>-6.95</v>
      </c>
      <c r="N214" s="256">
        <f>P204</f>
        <v>-21</v>
      </c>
      <c r="O214" s="256">
        <f>M214</f>
        <v>-6.95</v>
      </c>
      <c r="P214" s="256">
        <f>P213</f>
        <v>-34</v>
      </c>
      <c r="T214" s="409"/>
      <c r="U214" s="264" cm="1">
        <f t="array" ref="U214:V214">W212:X212</f>
        <v>-60</v>
      </c>
      <c r="V214" s="264">
        <v>240</v>
      </c>
      <c r="W214" s="264" cm="1">
        <f t="array" ref="W214:X214">W213:X213</f>
        <v>60</v>
      </c>
      <c r="X214" s="265">
        <v>240</v>
      </c>
      <c r="AB214" s="263">
        <f t="shared" si="45"/>
        <v>-81.919542381670453</v>
      </c>
      <c r="AC214" s="264">
        <f t="shared" si="46"/>
        <v>3761.0388859547602</v>
      </c>
      <c r="AD214" s="264">
        <f t="shared" si="47"/>
        <v>37.787533675324752</v>
      </c>
      <c r="AE214" s="265">
        <f t="shared" si="48"/>
        <v>3769.4183812787496</v>
      </c>
      <c r="AG214" s="263">
        <f t="shared" si="49"/>
        <v>2918.08045761833</v>
      </c>
      <c r="AH214" s="264">
        <f t="shared" si="50"/>
        <v>3971.0388859547593</v>
      </c>
      <c r="AI214" s="264">
        <f t="shared" si="51"/>
        <v>3037.787533675325</v>
      </c>
      <c r="AJ214" s="265">
        <f t="shared" si="52"/>
        <v>3979.4183812787487</v>
      </c>
    </row>
    <row r="215" spans="3:36" x14ac:dyDescent="0.25">
      <c r="C215" s="399"/>
      <c r="D215" s="256">
        <v>0</v>
      </c>
      <c r="E215" s="256">
        <v>0</v>
      </c>
      <c r="F215" s="256">
        <v>0</v>
      </c>
      <c r="G215" s="256">
        <v>0</v>
      </c>
      <c r="H215" s="256" t="s">
        <v>11</v>
      </c>
      <c r="I215" s="261">
        <v>1</v>
      </c>
      <c r="M215" s="260">
        <f>-M214</f>
        <v>6.95</v>
      </c>
      <c r="N215" s="256">
        <f>N214</f>
        <v>-21</v>
      </c>
      <c r="O215" s="256">
        <f>M215</f>
        <v>6.95</v>
      </c>
      <c r="P215" s="256">
        <f>P214</f>
        <v>-34</v>
      </c>
      <c r="T215" s="407" t="s">
        <v>391</v>
      </c>
      <c r="U215" s="258">
        <f>U203</f>
        <v>-60</v>
      </c>
      <c r="V215" s="258">
        <f>V203</f>
        <v>0</v>
      </c>
      <c r="W215" s="258">
        <f>U215</f>
        <v>-60</v>
      </c>
      <c r="X215" s="259">
        <f>_xlfn.CEILING.MATH(V215+Parametry!I29+Parametry!J29,10)</f>
        <v>30</v>
      </c>
      <c r="Y215" s="258" t="s">
        <v>403</v>
      </c>
      <c r="Z215" s="295" t="s">
        <v>402</v>
      </c>
      <c r="AB215" s="257">
        <f t="shared" si="45"/>
        <v>-65.160551733691122</v>
      </c>
      <c r="AC215" s="258">
        <f t="shared" si="46"/>
        <v>3521.6247338407697</v>
      </c>
      <c r="AD215" s="258">
        <f t="shared" si="47"/>
        <v>-67.255425564688537</v>
      </c>
      <c r="AE215" s="259">
        <f t="shared" si="48"/>
        <v>3551.5515028550185</v>
      </c>
      <c r="AG215" s="257">
        <f t="shared" si="49"/>
        <v>2934.8394482663093</v>
      </c>
      <c r="AH215" s="258">
        <f t="shared" si="50"/>
        <v>3731.6247338407688</v>
      </c>
      <c r="AI215" s="258">
        <f t="shared" si="51"/>
        <v>2932.7445744353117</v>
      </c>
      <c r="AJ215" s="259">
        <f t="shared" si="52"/>
        <v>3761.5515028550176</v>
      </c>
    </row>
    <row r="216" spans="3:36" ht="15.75" thickBot="1" x14ac:dyDescent="0.3">
      <c r="C216" s="400"/>
      <c r="D216" s="264">
        <v>0</v>
      </c>
      <c r="E216" s="264">
        <v>0</v>
      </c>
      <c r="F216" s="264">
        <v>0</v>
      </c>
      <c r="G216" s="264">
        <v>0</v>
      </c>
      <c r="H216" s="264" t="s">
        <v>8</v>
      </c>
      <c r="I216" s="265">
        <v>1.5</v>
      </c>
      <c r="M216" s="260">
        <f>M201</f>
        <v>-8</v>
      </c>
      <c r="N216" s="256">
        <f>P215</f>
        <v>-34</v>
      </c>
      <c r="O216" s="256">
        <f>M216</f>
        <v>-8</v>
      </c>
      <c r="P216" s="256">
        <f>-S190+12+2</f>
        <v>-36</v>
      </c>
      <c r="T216" s="408"/>
      <c r="U216" s="256" cm="1">
        <f t="array" ref="U216:V216">U215:V215</f>
        <v>-60</v>
      </c>
      <c r="V216" s="256">
        <v>0</v>
      </c>
      <c r="W216" s="256">
        <f>U216-Y216-Z216</f>
        <v>-100</v>
      </c>
      <c r="X216" s="261">
        <f>V216</f>
        <v>0</v>
      </c>
      <c r="Y216" s="264">
        <f>_xlfn.CEILING.MATH(Parametry!G36-(Parametry!G29-Parametry!H29)/2,10)+10</f>
        <v>30</v>
      </c>
      <c r="Z216" s="309">
        <f>IF(Y216=X215,10,0)</f>
        <v>10</v>
      </c>
      <c r="AB216" s="260">
        <f t="shared" si="45"/>
        <v>-65.160551733691122</v>
      </c>
      <c r="AC216" s="256">
        <f t="shared" si="46"/>
        <v>3521.6247338407697</v>
      </c>
      <c r="AD216" s="256">
        <f t="shared" si="47"/>
        <v>-105.0629104193562</v>
      </c>
      <c r="AE216" s="261">
        <f t="shared" si="48"/>
        <v>3518.8315687327731</v>
      </c>
      <c r="AG216" s="260">
        <f t="shared" si="49"/>
        <v>2934.8394482663093</v>
      </c>
      <c r="AH216" s="256">
        <f t="shared" si="50"/>
        <v>3731.6247338407688</v>
      </c>
      <c r="AI216" s="256">
        <f t="shared" si="51"/>
        <v>2894.9370895806442</v>
      </c>
      <c r="AJ216" s="261">
        <f t="shared" si="52"/>
        <v>3728.8315687327722</v>
      </c>
    </row>
    <row r="217" spans="3:36" ht="15.75" thickBot="1" x14ac:dyDescent="0.3">
      <c r="C217" s="391" t="s">
        <v>322</v>
      </c>
      <c r="D217" s="258" cm="1">
        <f t="array" ref="D217:G225">Y153:AB161</f>
        <v>1833.299731184421</v>
      </c>
      <c r="E217" s="258">
        <v>2034.1245214115718</v>
      </c>
      <c r="F217" s="258">
        <v>1841.5134308411541</v>
      </c>
      <c r="G217" s="258">
        <v>2028.4205633166184</v>
      </c>
      <c r="H217" s="258" t="s">
        <v>11</v>
      </c>
      <c r="I217" s="259">
        <v>1</v>
      </c>
      <c r="J217" s="316">
        <f>Parametry!K34</f>
        <v>4</v>
      </c>
      <c r="M217" s="260">
        <f>-M216</f>
        <v>8</v>
      </c>
      <c r="N217" s="256">
        <f>N216</f>
        <v>-34</v>
      </c>
      <c r="O217" s="256">
        <f>M217</f>
        <v>8</v>
      </c>
      <c r="P217" s="256">
        <f>P216</f>
        <v>-36</v>
      </c>
      <c r="T217" s="408"/>
      <c r="U217" s="256" cm="1">
        <f t="array" ref="U217:V217">W215:X215</f>
        <v>-60</v>
      </c>
      <c r="V217" s="256">
        <v>30</v>
      </c>
      <c r="W217" s="256">
        <f>W216</f>
        <v>-100</v>
      </c>
      <c r="X217" s="261">
        <f>V217</f>
        <v>30</v>
      </c>
      <c r="AB217" s="260">
        <f t="shared" si="45"/>
        <v>-67.255425564688537</v>
      </c>
      <c r="AC217" s="256">
        <f t="shared" si="46"/>
        <v>3551.5515028550185</v>
      </c>
      <c r="AD217" s="256">
        <f t="shared" si="47"/>
        <v>-107.15778425035361</v>
      </c>
      <c r="AE217" s="261">
        <f t="shared" si="48"/>
        <v>3548.7583377470219</v>
      </c>
      <c r="AG217" s="260">
        <f t="shared" si="49"/>
        <v>2932.7445744353117</v>
      </c>
      <c r="AH217" s="256">
        <f t="shared" si="50"/>
        <v>3761.5515028550176</v>
      </c>
      <c r="AI217" s="256">
        <f t="shared" si="51"/>
        <v>2892.8422157496466</v>
      </c>
      <c r="AJ217" s="261">
        <f t="shared" si="52"/>
        <v>3758.758337747021</v>
      </c>
    </row>
    <row r="218" spans="3:36" ht="15.75" thickBot="1" x14ac:dyDescent="0.3">
      <c r="C218" s="399"/>
      <c r="D218" s="256">
        <v>1841.5134308411541</v>
      </c>
      <c r="E218" s="256">
        <v>2028.4205633166184</v>
      </c>
      <c r="F218" s="256">
        <v>1903.1161782666513</v>
      </c>
      <c r="G218" s="256">
        <v>1985.6408776044675</v>
      </c>
      <c r="H218" s="256" t="s">
        <v>12</v>
      </c>
      <c r="I218" s="261">
        <v>2</v>
      </c>
      <c r="M218" s="260" cm="1">
        <f t="array" ref="M218:N218">O216:P216</f>
        <v>-8</v>
      </c>
      <c r="N218" s="256">
        <v>-36</v>
      </c>
      <c r="O218" s="256">
        <f>M216+2</f>
        <v>-6</v>
      </c>
      <c r="P218" s="256">
        <f>P217-2</f>
        <v>-38</v>
      </c>
      <c r="T218" s="409"/>
      <c r="U218" s="264" cm="1">
        <f t="array" ref="U218:V218">W216:X216</f>
        <v>-100</v>
      </c>
      <c r="V218" s="264">
        <v>0</v>
      </c>
      <c r="W218" s="264" cm="1">
        <f t="array" ref="W218:X218">W217:X217</f>
        <v>-100</v>
      </c>
      <c r="X218" s="265">
        <v>30</v>
      </c>
      <c r="AB218" s="263">
        <f t="shared" si="45"/>
        <v>-105.0629104193562</v>
      </c>
      <c r="AC218" s="264">
        <f t="shared" si="46"/>
        <v>3518.8315687327731</v>
      </c>
      <c r="AD218" s="264">
        <f t="shared" si="47"/>
        <v>-107.15778425035361</v>
      </c>
      <c r="AE218" s="265">
        <f t="shared" si="48"/>
        <v>3548.7583377470219</v>
      </c>
      <c r="AG218" s="263">
        <f t="shared" si="49"/>
        <v>2894.9370895806442</v>
      </c>
      <c r="AH218" s="264">
        <f t="shared" si="50"/>
        <v>3728.8315687327722</v>
      </c>
      <c r="AI218" s="264">
        <f t="shared" si="51"/>
        <v>2892.8422157496466</v>
      </c>
      <c r="AJ218" s="265">
        <f t="shared" si="52"/>
        <v>3758.758337747021</v>
      </c>
    </row>
    <row r="219" spans="3:36" x14ac:dyDescent="0.25">
      <c r="C219" s="399"/>
      <c r="D219" s="256">
        <v>1903.1161782666513</v>
      </c>
      <c r="E219" s="256">
        <v>1985.6408776044675</v>
      </c>
      <c r="F219" s="256">
        <v>1911.3298779233842</v>
      </c>
      <c r="G219" s="256">
        <v>1979.9369195095142</v>
      </c>
      <c r="H219" s="256" t="s">
        <v>11</v>
      </c>
      <c r="I219" s="261">
        <v>1</v>
      </c>
      <c r="M219" s="260" cm="1">
        <f t="array" ref="M219:N219">O217:P217</f>
        <v>8</v>
      </c>
      <c r="N219" s="256">
        <v>-36</v>
      </c>
      <c r="O219" s="256">
        <f>M219-2</f>
        <v>6</v>
      </c>
      <c r="P219" s="256">
        <f>P218</f>
        <v>-38</v>
      </c>
      <c r="T219" s="410" t="s">
        <v>405</v>
      </c>
      <c r="U219" s="258">
        <f>-Parametry!H29/2</f>
        <v>-3.1</v>
      </c>
      <c r="V219" s="258">
        <f>X215</f>
        <v>30</v>
      </c>
      <c r="W219" s="258">
        <f>U219-Parametry!G36</f>
        <v>-78.099999999999994</v>
      </c>
      <c r="X219" s="259">
        <f>V219</f>
        <v>30</v>
      </c>
      <c r="AB219" s="257">
        <f t="shared" si="45"/>
        <v>-10.494320334329981</v>
      </c>
      <c r="AC219" s="258">
        <f t="shared" si="46"/>
        <v>3555.5247802211434</v>
      </c>
      <c r="AD219" s="258">
        <f t="shared" si="47"/>
        <v>-85.311242869951982</v>
      </c>
      <c r="AE219" s="259">
        <f t="shared" si="48"/>
        <v>3550.2875956436501</v>
      </c>
      <c r="AG219" s="257">
        <f t="shared" si="49"/>
        <v>2989.5056796656704</v>
      </c>
      <c r="AH219" s="258">
        <f t="shared" si="50"/>
        <v>3765.5247802211425</v>
      </c>
      <c r="AI219" s="258">
        <f t="shared" si="51"/>
        <v>2914.6887571300481</v>
      </c>
      <c r="AJ219" s="259">
        <f t="shared" si="52"/>
        <v>3760.2875956436492</v>
      </c>
    </row>
    <row r="220" spans="3:36" x14ac:dyDescent="0.25">
      <c r="C220" s="399"/>
      <c r="D220" s="256">
        <v>1911.3298779233842</v>
      </c>
      <c r="E220" s="256">
        <v>1979.9369195095142</v>
      </c>
      <c r="F220" s="256">
        <v>1968.3694588729186</v>
      </c>
      <c r="G220" s="256">
        <v>2062.0739160768435</v>
      </c>
      <c r="H220" s="256" t="s">
        <v>11</v>
      </c>
      <c r="I220" s="261">
        <v>1</v>
      </c>
      <c r="M220" s="260" cm="1">
        <f t="array" ref="M220:N220">O218:P218</f>
        <v>-6</v>
      </c>
      <c r="N220" s="256">
        <v>-38</v>
      </c>
      <c r="O220" s="256" cm="1">
        <f t="array" ref="O220:P220">O219:P219</f>
        <v>6</v>
      </c>
      <c r="P220" s="256">
        <v>-38</v>
      </c>
      <c r="T220" s="411"/>
      <c r="U220" s="256" cm="1">
        <f t="array" ref="U220:V220">U219:V219</f>
        <v>-3.1</v>
      </c>
      <c r="V220" s="256">
        <v>30</v>
      </c>
      <c r="W220" s="256">
        <f>U220</f>
        <v>-3.1</v>
      </c>
      <c r="X220" s="261">
        <f>V220+Parametry!F36</f>
        <v>180</v>
      </c>
      <c r="AB220" s="260">
        <f t="shared" si="45"/>
        <v>-10.494320334329981</v>
      </c>
      <c r="AC220" s="256">
        <f t="shared" si="46"/>
        <v>3555.5247802211434</v>
      </c>
      <c r="AD220" s="256">
        <f t="shared" si="47"/>
        <v>-20.968689489317065</v>
      </c>
      <c r="AE220" s="261">
        <f t="shared" si="48"/>
        <v>3705.1586252923876</v>
      </c>
      <c r="AG220" s="260">
        <f t="shared" si="49"/>
        <v>2989.5056796656704</v>
      </c>
      <c r="AH220" s="256">
        <f t="shared" si="50"/>
        <v>3765.5247802211425</v>
      </c>
      <c r="AI220" s="256">
        <f t="shared" si="51"/>
        <v>2979.0313105106834</v>
      </c>
      <c r="AJ220" s="261">
        <f t="shared" si="52"/>
        <v>3915.1586252923867</v>
      </c>
    </row>
    <row r="221" spans="3:36" x14ac:dyDescent="0.25">
      <c r="C221" s="399"/>
      <c r="D221" s="256">
        <v>1968.3694588729186</v>
      </c>
      <c r="E221" s="256">
        <v>2062.0739160768435</v>
      </c>
      <c r="F221" s="256">
        <v>1960.1557592161857</v>
      </c>
      <c r="G221" s="256">
        <v>2067.7778741717971</v>
      </c>
      <c r="H221" s="256" t="s">
        <v>11</v>
      </c>
      <c r="I221" s="261">
        <v>1</v>
      </c>
      <c r="M221" s="260">
        <v>0</v>
      </c>
      <c r="N221" s="256">
        <f>12+S192*S190</f>
        <v>24.5</v>
      </c>
      <c r="O221" s="256">
        <f>0</f>
        <v>0</v>
      </c>
      <c r="P221" s="256">
        <f>-S190+12-S192*S190</f>
        <v>-50.5</v>
      </c>
      <c r="Q221" s="256" t="s">
        <v>366</v>
      </c>
      <c r="T221" s="411"/>
      <c r="U221" s="256" cm="1">
        <f t="array" ref="U221:V221">W220:X220</f>
        <v>-3.1</v>
      </c>
      <c r="V221" s="256">
        <v>180</v>
      </c>
      <c r="W221" s="256">
        <f>U221-(Parametry!H36-Parametry!J36)</f>
        <v>-7.6</v>
      </c>
      <c r="X221" s="261">
        <f>V221</f>
        <v>180</v>
      </c>
      <c r="AB221" s="260">
        <f t="shared" si="45"/>
        <v>-20.968689489317065</v>
      </c>
      <c r="AC221" s="256">
        <f t="shared" si="46"/>
        <v>3705.1586252923876</v>
      </c>
      <c r="AD221" s="256">
        <f t="shared" si="47"/>
        <v>-25.457704841454383</v>
      </c>
      <c r="AE221" s="261">
        <f t="shared" si="48"/>
        <v>3704.8443942177382</v>
      </c>
      <c r="AG221" s="260">
        <f t="shared" si="49"/>
        <v>2979.0313105106834</v>
      </c>
      <c r="AH221" s="256">
        <f t="shared" si="50"/>
        <v>3915.1586252923867</v>
      </c>
      <c r="AI221" s="256">
        <f t="shared" si="51"/>
        <v>2974.542295158546</v>
      </c>
      <c r="AJ221" s="261">
        <f t="shared" si="52"/>
        <v>3914.8443942177373</v>
      </c>
    </row>
    <row r="222" spans="3:36" x14ac:dyDescent="0.25">
      <c r="C222" s="399"/>
      <c r="D222" s="256">
        <v>1960.1557592161857</v>
      </c>
      <c r="E222" s="256">
        <v>2067.7778741717971</v>
      </c>
      <c r="F222" s="256">
        <v>1898.5530117906885</v>
      </c>
      <c r="G222" s="256">
        <v>2110.5575598839478</v>
      </c>
      <c r="H222" s="256" t="s">
        <v>12</v>
      </c>
      <c r="I222" s="261">
        <v>2</v>
      </c>
      <c r="M222" s="260"/>
      <c r="T222" s="411"/>
      <c r="U222" s="256" cm="1">
        <f t="array" ref="U222:V222">W219:X219</f>
        <v>-78.099999999999994</v>
      </c>
      <c r="V222" s="256">
        <v>30</v>
      </c>
      <c r="W222" s="256">
        <f>U222</f>
        <v>-78.099999999999994</v>
      </c>
      <c r="X222" s="261">
        <f>V222+(Parametry!H36-Parametry!J36)</f>
        <v>34.5</v>
      </c>
      <c r="AB222" s="260">
        <f t="shared" si="45"/>
        <v>-85.311242869951982</v>
      </c>
      <c r="AC222" s="256">
        <f t="shared" si="46"/>
        <v>3550.2875956436501</v>
      </c>
      <c r="AD222" s="256">
        <f t="shared" si="47"/>
        <v>-85.625473944601595</v>
      </c>
      <c r="AE222" s="261">
        <f t="shared" si="48"/>
        <v>3554.7766109957875</v>
      </c>
      <c r="AG222" s="260">
        <f t="shared" si="49"/>
        <v>2914.6887571300481</v>
      </c>
      <c r="AH222" s="256">
        <f t="shared" si="50"/>
        <v>3760.2875956436492</v>
      </c>
      <c r="AI222" s="256">
        <f t="shared" si="51"/>
        <v>2914.3745260553987</v>
      </c>
      <c r="AJ222" s="261">
        <f t="shared" si="52"/>
        <v>3764.7766109957865</v>
      </c>
    </row>
    <row r="223" spans="3:36" x14ac:dyDescent="0.25">
      <c r="C223" s="399"/>
      <c r="D223" s="256">
        <v>1898.5530117906885</v>
      </c>
      <c r="E223" s="256">
        <v>2110.5575598839478</v>
      </c>
      <c r="F223" s="256">
        <v>1890.3393121339557</v>
      </c>
      <c r="G223" s="256">
        <v>2116.2615179789013</v>
      </c>
      <c r="H223" s="256" t="s">
        <v>11</v>
      </c>
      <c r="I223" s="261">
        <v>1</v>
      </c>
      <c r="M223" s="399" t="s">
        <v>410</v>
      </c>
      <c r="N223" s="364"/>
      <c r="O223" s="364"/>
      <c r="P223" s="364"/>
      <c r="Q223" s="364"/>
      <c r="R223" s="364"/>
      <c r="S223" s="364"/>
      <c r="T223" s="411"/>
      <c r="U223" s="256">
        <f>U221-Parametry!H36</f>
        <v>-13.1</v>
      </c>
      <c r="V223" s="256">
        <f>V221-Parametry!J36</f>
        <v>174.5</v>
      </c>
      <c r="W223" s="256">
        <f>U223</f>
        <v>-13.1</v>
      </c>
      <c r="X223" s="261">
        <f>V219+Parametry!H36+Parametry!I36</f>
        <v>51</v>
      </c>
      <c r="AB223" s="260">
        <f t="shared" si="45"/>
        <v>-30.560218958383807</v>
      </c>
      <c r="AC223" s="256">
        <f t="shared" si="46"/>
        <v>3698.9737596961095</v>
      </c>
      <c r="AD223" s="256">
        <f t="shared" si="47"/>
        <v>-21.93632168744444</v>
      </c>
      <c r="AE223" s="261">
        <f t="shared" si="48"/>
        <v>3575.7752272541184</v>
      </c>
      <c r="AG223" s="260">
        <f t="shared" si="49"/>
        <v>2969.4397810416167</v>
      </c>
      <c r="AH223" s="256">
        <f t="shared" si="50"/>
        <v>3908.9737596961086</v>
      </c>
      <c r="AI223" s="256">
        <f t="shared" si="51"/>
        <v>2978.063678312556</v>
      </c>
      <c r="AJ223" s="261">
        <f t="shared" si="52"/>
        <v>3785.7752272541175</v>
      </c>
    </row>
    <row r="224" spans="3:36" ht="15.75" thickBot="1" x14ac:dyDescent="0.3">
      <c r="C224" s="399"/>
      <c r="D224" s="256">
        <v>1890.3393121339557</v>
      </c>
      <c r="E224" s="256">
        <v>2116.2615179789013</v>
      </c>
      <c r="F224" s="256">
        <v>1833.299731184421</v>
      </c>
      <c r="G224" s="256">
        <v>2034.1245214115718</v>
      </c>
      <c r="H224" s="256" t="s">
        <v>11</v>
      </c>
      <c r="I224" s="261">
        <v>1</v>
      </c>
      <c r="M224" s="413" t="s">
        <v>362</v>
      </c>
      <c r="N224" s="414"/>
      <c r="O224" s="414"/>
      <c r="P224" s="414"/>
      <c r="T224" s="412"/>
      <c r="U224" s="264">
        <f>U222+Parametry!J36</f>
        <v>-72.599999999999994</v>
      </c>
      <c r="V224" s="264">
        <f>V219+Parametry!H36</f>
        <v>40</v>
      </c>
      <c r="W224" s="264">
        <f>U219-Parametry!H36-Parametry!I36</f>
        <v>-24.1</v>
      </c>
      <c r="X224" s="265">
        <f>V224</f>
        <v>40</v>
      </c>
      <c r="AB224" s="263">
        <f t="shared" si="45"/>
        <v>-80.522959827672182</v>
      </c>
      <c r="AC224" s="264">
        <f t="shared" si="46"/>
        <v>3560.6472455174157</v>
      </c>
      <c r="AD224" s="264">
        <f t="shared" si="47"/>
        <v>-32.141349921303281</v>
      </c>
      <c r="AE224" s="265">
        <f t="shared" si="48"/>
        <v>3564.0339582108618</v>
      </c>
      <c r="AG224" s="263">
        <f t="shared" si="49"/>
        <v>2919.4770401723281</v>
      </c>
      <c r="AH224" s="264">
        <f t="shared" si="50"/>
        <v>3770.6472455174148</v>
      </c>
      <c r="AI224" s="264">
        <f t="shared" si="51"/>
        <v>2967.8586500786969</v>
      </c>
      <c r="AJ224" s="265">
        <f t="shared" si="52"/>
        <v>3774.0339582108609</v>
      </c>
    </row>
    <row r="225" spans="3:36" ht="15.75" thickBot="1" x14ac:dyDescent="0.3">
      <c r="C225" s="400"/>
      <c r="D225" s="264">
        <v>1978.8647417676329</v>
      </c>
      <c r="E225" s="264">
        <v>1993.9116168421499</v>
      </c>
      <c r="F225" s="264">
        <v>1822.8044482897069</v>
      </c>
      <c r="G225" s="264">
        <v>2102.2868206462654</v>
      </c>
      <c r="H225" s="264" t="s">
        <v>8</v>
      </c>
      <c r="I225" s="265">
        <v>1.5</v>
      </c>
      <c r="M225" s="260">
        <v>-15.2</v>
      </c>
      <c r="N225" s="256">
        <v>14.5</v>
      </c>
      <c r="O225" s="256">
        <f>-M225</f>
        <v>15.2</v>
      </c>
      <c r="P225" s="256">
        <v>14.5</v>
      </c>
      <c r="R225" s="283" t="s">
        <v>363</v>
      </c>
      <c r="S225" s="256">
        <f>_xlfn.CEILING.MATH(14.5+2*Parametry!P9+Parametry!P11+18+2,10)</f>
        <v>100</v>
      </c>
      <c r="T225" s="338" t="s">
        <v>409</v>
      </c>
      <c r="U225" s="320">
        <f>-(0.5+Parametry!T40)*Parametry!G29</f>
        <v>-90</v>
      </c>
      <c r="V225" s="320">
        <f>Parametry!F29/2</f>
        <v>120</v>
      </c>
      <c r="W225" s="320">
        <f>-U225</f>
        <v>90</v>
      </c>
      <c r="X225" s="296">
        <f>V225</f>
        <v>120</v>
      </c>
      <c r="AB225" s="277">
        <f t="shared" si="45"/>
        <v>-103.4668160719296</v>
      </c>
      <c r="AC225" s="320">
        <f t="shared" si="46"/>
        <v>3639.2369360667672</v>
      </c>
      <c r="AD225" s="320">
        <f t="shared" si="47"/>
        <v>76.093798013563202</v>
      </c>
      <c r="AE225" s="296">
        <f t="shared" si="48"/>
        <v>3651.8061790527518</v>
      </c>
      <c r="AG225" s="277">
        <f t="shared" si="49"/>
        <v>2896.5331839280707</v>
      </c>
      <c r="AH225" s="320">
        <f t="shared" si="50"/>
        <v>3849.2369360667662</v>
      </c>
      <c r="AI225" s="320">
        <f t="shared" si="51"/>
        <v>3076.0937980135632</v>
      </c>
      <c r="AJ225" s="296">
        <f t="shared" si="52"/>
        <v>3861.8061790527508</v>
      </c>
    </row>
    <row r="226" spans="3:36" ht="15.75" thickBot="1" x14ac:dyDescent="0.3">
      <c r="C226" s="391" t="s">
        <v>323</v>
      </c>
      <c r="D226" s="258" cm="1">
        <f t="array" ref="D226:G234">Y163:AB171</f>
        <v>2070.7809684621557</v>
      </c>
      <c r="E226" s="258">
        <v>2376.0975030915092</v>
      </c>
      <c r="F226" s="258">
        <v>2078.9946681188885</v>
      </c>
      <c r="G226" s="258">
        <v>2370.3935449965561</v>
      </c>
      <c r="H226" s="258" t="s">
        <v>11</v>
      </c>
      <c r="I226" s="259">
        <v>1</v>
      </c>
      <c r="M226" s="260" cm="1">
        <f t="array" ref="M226:N226">O225:P225</f>
        <v>15.2</v>
      </c>
      <c r="N226" s="256">
        <v>14.5</v>
      </c>
      <c r="O226" s="256">
        <f>M226+2</f>
        <v>17.2</v>
      </c>
      <c r="P226" s="256">
        <f>N226-2</f>
        <v>12.5</v>
      </c>
      <c r="R226" s="283" t="s">
        <v>364</v>
      </c>
      <c r="S226" s="256">
        <f>2*Parametry!P9+Parametry!P11</f>
        <v>62</v>
      </c>
      <c r="T226" s="407" t="s">
        <v>413</v>
      </c>
      <c r="U226" s="258">
        <f>$R$267+M261*COS($Z$227)-N261*SIN($Z$227)</f>
        <v>15.100000000000001</v>
      </c>
      <c r="V226" s="258">
        <f>$S$267+M261*SIN($Z$227)+N261*COS($Z$227)</f>
        <v>97.4</v>
      </c>
      <c r="W226" s="258">
        <f>$R$267+O261*COS($Z$227)-P261*SIN($Z$227)</f>
        <v>15.100000000000001</v>
      </c>
      <c r="X226" s="259">
        <f>$S$267+O261*SIN($Z$227)+P261*COS($Z$227)</f>
        <v>73.599999999999994</v>
      </c>
      <c r="Y226" s="320">
        <f>X223-X225</f>
        <v>-69</v>
      </c>
      <c r="Z226" s="296">
        <f>Y226/2</f>
        <v>-34.5</v>
      </c>
      <c r="AB226" s="257">
        <f t="shared" si="45"/>
        <v>2.9547696606734313</v>
      </c>
      <c r="AC226" s="258">
        <f t="shared" si="46"/>
        <v>3624.0311447306276</v>
      </c>
      <c r="AD226" s="258">
        <f t="shared" si="47"/>
        <v>4.6167028999313828</v>
      </c>
      <c r="AE226" s="259">
        <f t="shared" si="48"/>
        <v>3600.2892413126569</v>
      </c>
      <c r="AG226" s="257">
        <f t="shared" si="49"/>
        <v>3002.9547696606737</v>
      </c>
      <c r="AH226" s="258">
        <f t="shared" si="50"/>
        <v>3834.0311447306267</v>
      </c>
      <c r="AI226" s="258">
        <f t="shared" si="51"/>
        <v>3004.6167028999316</v>
      </c>
      <c r="AJ226" s="259">
        <f t="shared" si="52"/>
        <v>3810.289241312656</v>
      </c>
    </row>
    <row r="227" spans="3:36" ht="30.75" thickBot="1" x14ac:dyDescent="0.3">
      <c r="C227" s="399"/>
      <c r="D227" s="256">
        <v>2078.9946681188885</v>
      </c>
      <c r="E227" s="256">
        <v>2370.3935449965561</v>
      </c>
      <c r="F227" s="256">
        <v>2140.597415544386</v>
      </c>
      <c r="G227" s="256">
        <v>2327.613859284405</v>
      </c>
      <c r="H227" s="256" t="s">
        <v>12</v>
      </c>
      <c r="I227" s="261">
        <v>2</v>
      </c>
      <c r="M227" s="260" cm="1">
        <f t="array" ref="M227:N227">M225:N225</f>
        <v>-15.2</v>
      </c>
      <c r="N227" s="256">
        <v>14.5</v>
      </c>
      <c r="O227" s="256">
        <f>M227-2</f>
        <v>-17.2</v>
      </c>
      <c r="P227" s="256">
        <f>N227-2</f>
        <v>12.5</v>
      </c>
      <c r="R227" s="283" t="s">
        <v>367</v>
      </c>
      <c r="S227" s="256">
        <v>0.25</v>
      </c>
      <c r="T227" s="408"/>
      <c r="U227" s="256">
        <f t="shared" ref="U227:U257" si="53">$R$267+M262*COS($Z$227)-N262*SIN($Z$227)</f>
        <v>15.100000000000001</v>
      </c>
      <c r="V227" s="256">
        <f t="shared" ref="V227:V257" si="54">$S$267+M262*SIN($Z$227)+N262*COS($Z$227)</f>
        <v>73.599999999999994</v>
      </c>
      <c r="W227" s="256">
        <f t="shared" ref="W227:W257" si="55">$R$267+O262*COS($Z$227)-P262*SIN($Z$227)</f>
        <v>13.100000000000001</v>
      </c>
      <c r="X227" s="261">
        <f t="shared" ref="X227:X257" si="56">$S$267+O262*SIN($Z$227)+P262*COS($Z$227)</f>
        <v>71.599999999999994</v>
      </c>
      <c r="Y227" s="337" t="s">
        <v>412</v>
      </c>
      <c r="Z227" s="301">
        <f>RADIANS(-90)</f>
        <v>-1.5707963267948966</v>
      </c>
      <c r="AB227" s="260">
        <f t="shared" si="45"/>
        <v>4.6167028999313828</v>
      </c>
      <c r="AC227" s="256">
        <f t="shared" si="46"/>
        <v>3600.2892413126569</v>
      </c>
      <c r="AD227" s="256">
        <f t="shared" si="47"/>
        <v>2.7612432210479554</v>
      </c>
      <c r="AE227" s="261">
        <f t="shared" si="48"/>
        <v>3598.1544651229738</v>
      </c>
      <c r="AG227" s="260">
        <f t="shared" si="49"/>
        <v>3004.6167028999316</v>
      </c>
      <c r="AH227" s="256">
        <f t="shared" si="50"/>
        <v>3810.289241312656</v>
      </c>
      <c r="AI227" s="256">
        <f t="shared" si="51"/>
        <v>3002.7612432210481</v>
      </c>
      <c r="AJ227" s="261">
        <f t="shared" si="52"/>
        <v>3808.1544651229729</v>
      </c>
    </row>
    <row r="228" spans="3:36" x14ac:dyDescent="0.25">
      <c r="C228" s="399"/>
      <c r="D228" s="256">
        <v>2140.597415544386</v>
      </c>
      <c r="E228" s="256">
        <v>2327.613859284405</v>
      </c>
      <c r="F228" s="256">
        <v>2148.8111152011188</v>
      </c>
      <c r="G228" s="256">
        <v>2321.9099011894518</v>
      </c>
      <c r="H228" s="256" t="s">
        <v>11</v>
      </c>
      <c r="I228" s="261">
        <v>1</v>
      </c>
      <c r="M228" s="260" cm="1">
        <f t="array" ref="M228:N228">O226:P226</f>
        <v>17.2</v>
      </c>
      <c r="N228" s="256">
        <v>12.5</v>
      </c>
      <c r="O228" s="256">
        <f>M228</f>
        <v>17.2</v>
      </c>
      <c r="P228" s="256">
        <f>N228-10.5</f>
        <v>2</v>
      </c>
      <c r="T228" s="408"/>
      <c r="U228" s="256">
        <f t="shared" si="53"/>
        <v>15.100000000000001</v>
      </c>
      <c r="V228" s="256">
        <f t="shared" si="54"/>
        <v>97.4</v>
      </c>
      <c r="W228" s="256">
        <f t="shared" si="55"/>
        <v>13.100000000000001</v>
      </c>
      <c r="X228" s="261">
        <f t="shared" si="56"/>
        <v>99.4</v>
      </c>
      <c r="AB228" s="260">
        <f t="shared" si="45"/>
        <v>2.9547696606734313</v>
      </c>
      <c r="AC228" s="256">
        <f t="shared" si="46"/>
        <v>3624.0311447306276</v>
      </c>
      <c r="AD228" s="256">
        <f t="shared" si="47"/>
        <v>0.81999347099034914</v>
      </c>
      <c r="AE228" s="261">
        <f t="shared" si="48"/>
        <v>3625.8866044095112</v>
      </c>
      <c r="AG228" s="260">
        <f t="shared" si="49"/>
        <v>3002.9547696606737</v>
      </c>
      <c r="AH228" s="256">
        <f t="shared" si="50"/>
        <v>3834.0311447306267</v>
      </c>
      <c r="AI228" s="256">
        <f t="shared" si="51"/>
        <v>3000.8199934709905</v>
      </c>
      <c r="AJ228" s="261">
        <f t="shared" si="52"/>
        <v>3835.8866044095103</v>
      </c>
    </row>
    <row r="229" spans="3:36" x14ac:dyDescent="0.25">
      <c r="C229" s="399"/>
      <c r="D229" s="256">
        <v>2148.8111152011188</v>
      </c>
      <c r="E229" s="256">
        <v>2321.9099011894518</v>
      </c>
      <c r="F229" s="256">
        <v>2205.8506961506532</v>
      </c>
      <c r="G229" s="256">
        <v>2404.0468977567812</v>
      </c>
      <c r="H229" s="256" t="s">
        <v>11</v>
      </c>
      <c r="I229" s="261">
        <v>1</v>
      </c>
      <c r="M229" s="260" cm="1">
        <f t="array" ref="M229:N229">O227:P227</f>
        <v>-17.2</v>
      </c>
      <c r="N229" s="256">
        <v>12.5</v>
      </c>
      <c r="O229" s="256">
        <f>M229</f>
        <v>-17.2</v>
      </c>
      <c r="P229" s="256">
        <f>N229-10.5</f>
        <v>2</v>
      </c>
      <c r="R229" s="364" t="s">
        <v>369</v>
      </c>
      <c r="S229" s="364"/>
      <c r="T229" s="408"/>
      <c r="U229" s="256">
        <f t="shared" si="53"/>
        <v>13.100000000000001</v>
      </c>
      <c r="V229" s="256">
        <f t="shared" si="54"/>
        <v>71.599999999999994</v>
      </c>
      <c r="W229" s="256">
        <f t="shared" si="55"/>
        <v>5.1000000000000023</v>
      </c>
      <c r="X229" s="261">
        <f t="shared" si="56"/>
        <v>71.599999999999994</v>
      </c>
      <c r="AB229" s="260">
        <f t="shared" si="45"/>
        <v>2.7612432210479554</v>
      </c>
      <c r="AC229" s="256">
        <f t="shared" si="46"/>
        <v>3598.1544651229738</v>
      </c>
      <c r="AD229" s="256">
        <f t="shared" si="47"/>
        <v>-5.2192285160850567</v>
      </c>
      <c r="AE229" s="261">
        <f t="shared" si="48"/>
        <v>3597.5958321013745</v>
      </c>
      <c r="AG229" s="260">
        <f t="shared" si="49"/>
        <v>3002.7612432210481</v>
      </c>
      <c r="AH229" s="256">
        <f t="shared" si="50"/>
        <v>3808.1544651229729</v>
      </c>
      <c r="AI229" s="256">
        <f t="shared" si="51"/>
        <v>2994.780771483915</v>
      </c>
      <c r="AJ229" s="261">
        <f t="shared" si="52"/>
        <v>3807.5958321013736</v>
      </c>
    </row>
    <row r="230" spans="3:36" x14ac:dyDescent="0.25">
      <c r="C230" s="399"/>
      <c r="D230" s="256">
        <v>2205.8506961506532</v>
      </c>
      <c r="E230" s="256">
        <v>2404.0468977567812</v>
      </c>
      <c r="F230" s="256">
        <v>2197.6369964939204</v>
      </c>
      <c r="G230" s="256">
        <v>2409.7508558517347</v>
      </c>
      <c r="H230" s="256" t="s">
        <v>11</v>
      </c>
      <c r="I230" s="261">
        <v>1</v>
      </c>
      <c r="M230" s="260">
        <f>M229-5</f>
        <v>-22.2</v>
      </c>
      <c r="N230" s="256">
        <f>P229</f>
        <v>2</v>
      </c>
      <c r="O230" s="256">
        <f>O228+5</f>
        <v>22.2</v>
      </c>
      <c r="P230" s="256">
        <f>P228</f>
        <v>2</v>
      </c>
      <c r="R230" s="283" t="s">
        <v>83</v>
      </c>
      <c r="S230" s="283" t="s">
        <v>84</v>
      </c>
      <c r="T230" s="408"/>
      <c r="U230" s="256">
        <f t="shared" si="53"/>
        <v>13.100000000000001</v>
      </c>
      <c r="V230" s="256">
        <f t="shared" si="54"/>
        <v>99.4</v>
      </c>
      <c r="W230" s="256">
        <f t="shared" si="55"/>
        <v>5.1000000000000005</v>
      </c>
      <c r="X230" s="261">
        <f t="shared" si="56"/>
        <v>99.4</v>
      </c>
      <c r="AB230" s="260">
        <f t="shared" si="45"/>
        <v>0.81999347099034914</v>
      </c>
      <c r="AC230" s="256">
        <f t="shared" si="46"/>
        <v>3625.8866044095112</v>
      </c>
      <c r="AD230" s="256">
        <f t="shared" si="47"/>
        <v>-7.1604782661426647</v>
      </c>
      <c r="AE230" s="261">
        <f t="shared" si="48"/>
        <v>3625.3279713879119</v>
      </c>
      <c r="AG230" s="260">
        <f t="shared" si="49"/>
        <v>3000.8199934709905</v>
      </c>
      <c r="AH230" s="256">
        <f t="shared" si="50"/>
        <v>3835.8866044095103</v>
      </c>
      <c r="AI230" s="256">
        <f t="shared" si="51"/>
        <v>2992.8395217338575</v>
      </c>
      <c r="AJ230" s="261">
        <f t="shared" si="52"/>
        <v>3835.327971387911</v>
      </c>
    </row>
    <row r="231" spans="3:36" x14ac:dyDescent="0.25">
      <c r="C231" s="399"/>
      <c r="D231" s="256">
        <v>2197.6369964939204</v>
      </c>
      <c r="E231" s="256">
        <v>2409.7508558517347</v>
      </c>
      <c r="F231" s="256">
        <v>2136.0342490684234</v>
      </c>
      <c r="G231" s="256">
        <v>2452.5305415638854</v>
      </c>
      <c r="H231" s="256" t="s">
        <v>12</v>
      </c>
      <c r="I231" s="261">
        <v>2</v>
      </c>
      <c r="M231" s="260" cm="1">
        <f t="array" ref="M231:N231">M230:N230</f>
        <v>-22.2</v>
      </c>
      <c r="N231" s="256">
        <v>2</v>
      </c>
      <c r="O231" s="256">
        <f>M231</f>
        <v>-22.2</v>
      </c>
      <c r="P231" s="256">
        <v>0</v>
      </c>
      <c r="R231" s="256">
        <f>-Parametry!S40/2</f>
        <v>-80</v>
      </c>
      <c r="S231" s="256">
        <f>G27</f>
        <v>3096</v>
      </c>
      <c r="T231" s="408"/>
      <c r="U231" s="256">
        <f t="shared" si="53"/>
        <v>5.0999999999999996</v>
      </c>
      <c r="V231" s="256">
        <f t="shared" si="54"/>
        <v>104.4</v>
      </c>
      <c r="W231" s="256">
        <f t="shared" si="55"/>
        <v>5.1000000000000032</v>
      </c>
      <c r="X231" s="261">
        <f t="shared" si="56"/>
        <v>66.599999999999994</v>
      </c>
      <c r="AB231" s="260">
        <f t="shared" si="45"/>
        <v>-7.5096239046422353</v>
      </c>
      <c r="AC231" s="256">
        <f t="shared" si="46"/>
        <v>3630.3157662236199</v>
      </c>
      <c r="AD231" s="256">
        <f t="shared" si="47"/>
        <v>-4.8700828775854861</v>
      </c>
      <c r="AE231" s="261">
        <f t="shared" si="48"/>
        <v>3592.6080372656666</v>
      </c>
      <c r="AG231" s="260">
        <f t="shared" si="49"/>
        <v>2992.490376095358</v>
      </c>
      <c r="AH231" s="256">
        <f t="shared" si="50"/>
        <v>3840.315766223619</v>
      </c>
      <c r="AI231" s="256">
        <f t="shared" si="51"/>
        <v>2995.1299171224146</v>
      </c>
      <c r="AJ231" s="261">
        <f t="shared" si="52"/>
        <v>3802.6080372656656</v>
      </c>
    </row>
    <row r="232" spans="3:36" x14ac:dyDescent="0.25">
      <c r="C232" s="399"/>
      <c r="D232" s="256">
        <v>2136.0342490684234</v>
      </c>
      <c r="E232" s="256">
        <v>2452.5305415638854</v>
      </c>
      <c r="F232" s="256">
        <v>2127.8205494116901</v>
      </c>
      <c r="G232" s="256">
        <v>2458.234499658839</v>
      </c>
      <c r="H232" s="256" t="s">
        <v>11</v>
      </c>
      <c r="I232" s="261">
        <v>1</v>
      </c>
      <c r="M232" s="260" cm="1">
        <f t="array" ref="M232:N232">O230:P230</f>
        <v>22.2</v>
      </c>
      <c r="N232" s="256">
        <v>2</v>
      </c>
      <c r="O232" s="256">
        <f>M232</f>
        <v>22.2</v>
      </c>
      <c r="P232" s="256">
        <v>0</v>
      </c>
      <c r="R232" s="256">
        <f>-R231</f>
        <v>80</v>
      </c>
      <c r="S232" s="256">
        <f>S231</f>
        <v>3096</v>
      </c>
      <c r="T232" s="408"/>
      <c r="U232" s="256">
        <f t="shared" si="53"/>
        <v>5.0999999999999996</v>
      </c>
      <c r="V232" s="256">
        <f t="shared" si="54"/>
        <v>104.4</v>
      </c>
      <c r="W232" s="256">
        <f t="shared" si="55"/>
        <v>3.1</v>
      </c>
      <c r="X232" s="261">
        <f t="shared" si="56"/>
        <v>104.4</v>
      </c>
      <c r="AB232" s="260">
        <f t="shared" si="45"/>
        <v>-7.5096239046422353</v>
      </c>
      <c r="AC232" s="256">
        <f t="shared" si="46"/>
        <v>3630.3157662236199</v>
      </c>
      <c r="AD232" s="256">
        <f t="shared" si="47"/>
        <v>-9.5047418389254883</v>
      </c>
      <c r="AE232" s="261">
        <f t="shared" si="48"/>
        <v>3630.1761079682201</v>
      </c>
      <c r="AG232" s="260">
        <f t="shared" si="49"/>
        <v>2992.490376095358</v>
      </c>
      <c r="AH232" s="256">
        <f t="shared" si="50"/>
        <v>3840.315766223619</v>
      </c>
      <c r="AI232" s="256">
        <f t="shared" si="51"/>
        <v>2990.4952581610746</v>
      </c>
      <c r="AJ232" s="261">
        <f t="shared" si="52"/>
        <v>3840.1761079682192</v>
      </c>
    </row>
    <row r="233" spans="3:36" x14ac:dyDescent="0.25">
      <c r="C233" s="399"/>
      <c r="D233" s="256">
        <v>2127.8205494116901</v>
      </c>
      <c r="E233" s="256">
        <v>2458.234499658839</v>
      </c>
      <c r="F233" s="256">
        <v>2070.7809684621557</v>
      </c>
      <c r="G233" s="256">
        <v>2376.0975030915092</v>
      </c>
      <c r="H233" s="256" t="s">
        <v>11</v>
      </c>
      <c r="I233" s="261">
        <v>1</v>
      </c>
      <c r="M233" s="260" cm="1">
        <f t="array" ref="M233:N233">O231:P231</f>
        <v>-22.2</v>
      </c>
      <c r="N233" s="256">
        <v>0</v>
      </c>
      <c r="O233" s="256" cm="1">
        <f t="array" ref="O233:P233">O232:P232</f>
        <v>22.2</v>
      </c>
      <c r="P233" s="256">
        <v>0</v>
      </c>
      <c r="T233" s="408"/>
      <c r="U233" s="256">
        <f t="shared" si="53"/>
        <v>5.1000000000000032</v>
      </c>
      <c r="V233" s="256">
        <f t="shared" si="54"/>
        <v>66.599999999999994</v>
      </c>
      <c r="W233" s="256">
        <f t="shared" si="55"/>
        <v>3.1000000000000028</v>
      </c>
      <c r="X233" s="261">
        <f t="shared" si="56"/>
        <v>66.599999999999994</v>
      </c>
      <c r="AB233" s="260">
        <f t="shared" si="45"/>
        <v>-4.8700828775854861</v>
      </c>
      <c r="AC233" s="256">
        <f t="shared" si="46"/>
        <v>3592.6080372656666</v>
      </c>
      <c r="AD233" s="256">
        <f t="shared" si="47"/>
        <v>-6.8652008118687409</v>
      </c>
      <c r="AE233" s="261">
        <f t="shared" si="48"/>
        <v>3592.4683790102667</v>
      </c>
      <c r="AG233" s="260">
        <f t="shared" si="49"/>
        <v>2995.1299171224146</v>
      </c>
      <c r="AH233" s="256">
        <f t="shared" si="50"/>
        <v>3802.6080372656656</v>
      </c>
      <c r="AI233" s="256">
        <f t="shared" si="51"/>
        <v>2993.1347991881316</v>
      </c>
      <c r="AJ233" s="261">
        <f t="shared" si="52"/>
        <v>3802.4683790102658</v>
      </c>
    </row>
    <row r="234" spans="3:36" ht="15.75" thickBot="1" x14ac:dyDescent="0.3">
      <c r="C234" s="400"/>
      <c r="D234" s="264">
        <v>2216.3459790453676</v>
      </c>
      <c r="E234" s="264">
        <v>2335.8845985220878</v>
      </c>
      <c r="F234" s="264">
        <v>2060.2856855674413</v>
      </c>
      <c r="G234" s="264">
        <v>2444.259802326203</v>
      </c>
      <c r="H234" s="264" t="s">
        <v>8</v>
      </c>
      <c r="I234" s="265">
        <v>1.5</v>
      </c>
      <c r="M234" s="260">
        <f>-8.6</f>
        <v>-8.6</v>
      </c>
      <c r="N234" s="256">
        <f>N225</f>
        <v>14.5</v>
      </c>
      <c r="O234" s="256">
        <f>M234</f>
        <v>-8.6</v>
      </c>
      <c r="P234" s="256">
        <f>P229</f>
        <v>2</v>
      </c>
      <c r="T234" s="408"/>
      <c r="U234" s="256">
        <f t="shared" si="53"/>
        <v>3.1</v>
      </c>
      <c r="V234" s="256">
        <f t="shared" si="54"/>
        <v>104.4</v>
      </c>
      <c r="W234" s="256">
        <f t="shared" si="55"/>
        <v>3.1000000000000028</v>
      </c>
      <c r="X234" s="261">
        <f t="shared" si="56"/>
        <v>66.599999999999994</v>
      </c>
      <c r="AB234" s="260">
        <f t="shared" si="45"/>
        <v>-9.5047418389254883</v>
      </c>
      <c r="AC234" s="256">
        <f t="shared" si="46"/>
        <v>3630.1761079682201</v>
      </c>
      <c r="AD234" s="256">
        <f t="shared" si="47"/>
        <v>-6.8652008118687409</v>
      </c>
      <c r="AE234" s="261">
        <f t="shared" si="48"/>
        <v>3592.4683790102667</v>
      </c>
      <c r="AG234" s="260">
        <f t="shared" si="49"/>
        <v>2990.4952581610746</v>
      </c>
      <c r="AH234" s="256">
        <f t="shared" si="50"/>
        <v>3840.1761079682192</v>
      </c>
      <c r="AI234" s="256">
        <f t="shared" si="51"/>
        <v>2993.1347991881316</v>
      </c>
      <c r="AJ234" s="261">
        <f t="shared" si="52"/>
        <v>3802.4683790102658</v>
      </c>
    </row>
    <row r="235" spans="3:36" x14ac:dyDescent="0.25">
      <c r="C235" s="391" t="s">
        <v>324</v>
      </c>
      <c r="D235" s="258" cm="1">
        <f t="array" ref="D235:G243">AE153:AH161</f>
        <v>2308.2622057398908</v>
      </c>
      <c r="E235" s="258">
        <v>2718.0704847714469</v>
      </c>
      <c r="F235" s="258">
        <v>2316.4759053966236</v>
      </c>
      <c r="G235" s="258">
        <v>2712.3665266764938</v>
      </c>
      <c r="H235" s="258" t="s">
        <v>11</v>
      </c>
      <c r="I235" s="259">
        <v>1</v>
      </c>
      <c r="M235" s="260">
        <f>-M234</f>
        <v>8.6</v>
      </c>
      <c r="N235" s="256">
        <f>N234</f>
        <v>14.5</v>
      </c>
      <c r="O235" s="256">
        <f>M235</f>
        <v>8.6</v>
      </c>
      <c r="P235" s="256">
        <f>P234</f>
        <v>2</v>
      </c>
      <c r="T235" s="408"/>
      <c r="U235" s="256">
        <f t="shared" si="53"/>
        <v>15.100000000000001</v>
      </c>
      <c r="V235" s="256">
        <f t="shared" si="54"/>
        <v>92.45</v>
      </c>
      <c r="W235" s="256">
        <f t="shared" si="55"/>
        <v>5.1000000000000014</v>
      </c>
      <c r="X235" s="261">
        <f t="shared" si="56"/>
        <v>92.45</v>
      </c>
      <c r="AB235" s="260">
        <f t="shared" si="45"/>
        <v>3.3004238427880059</v>
      </c>
      <c r="AC235" s="256">
        <f t="shared" si="46"/>
        <v>3619.0932278432765</v>
      </c>
      <c r="AD235" s="256">
        <f t="shared" si="47"/>
        <v>-6.6751658286282618</v>
      </c>
      <c r="AE235" s="261">
        <f t="shared" si="48"/>
        <v>3618.3949365662775</v>
      </c>
      <c r="AG235" s="260">
        <f t="shared" si="49"/>
        <v>3003.3004238427884</v>
      </c>
      <c r="AH235" s="256">
        <f t="shared" si="50"/>
        <v>3829.0932278432756</v>
      </c>
      <c r="AI235" s="256">
        <f t="shared" si="51"/>
        <v>2993.324834171372</v>
      </c>
      <c r="AJ235" s="261">
        <f t="shared" si="52"/>
        <v>3828.3949365662766</v>
      </c>
    </row>
    <row r="236" spans="3:36" x14ac:dyDescent="0.25">
      <c r="C236" s="399"/>
      <c r="D236" s="256">
        <v>2316.4759053966236</v>
      </c>
      <c r="E236" s="256">
        <v>2712.3665266764938</v>
      </c>
      <c r="F236" s="256">
        <v>2378.0786528221211</v>
      </c>
      <c r="G236" s="256">
        <v>2669.5868409643426</v>
      </c>
      <c r="H236" s="256" t="s">
        <v>12</v>
      </c>
      <c r="I236" s="261">
        <v>2</v>
      </c>
      <c r="M236" s="260">
        <v>-10</v>
      </c>
      <c r="N236" s="256">
        <v>0</v>
      </c>
      <c r="O236" s="256">
        <f>M236</f>
        <v>-10</v>
      </c>
      <c r="P236" s="256">
        <f>N236-S226</f>
        <v>-62</v>
      </c>
      <c r="Q236" s="256" t="s">
        <v>365</v>
      </c>
      <c r="T236" s="408"/>
      <c r="U236" s="256">
        <f t="shared" si="53"/>
        <v>15.100000000000001</v>
      </c>
      <c r="V236" s="256">
        <f t="shared" si="54"/>
        <v>78.55</v>
      </c>
      <c r="W236" s="256">
        <f t="shared" si="55"/>
        <v>5.1000000000000014</v>
      </c>
      <c r="X236" s="261">
        <f t="shared" si="56"/>
        <v>78.55</v>
      </c>
      <c r="AB236" s="260">
        <f t="shared" si="45"/>
        <v>4.2710487178168091</v>
      </c>
      <c r="AC236" s="256">
        <f t="shared" si="46"/>
        <v>3605.227158200008</v>
      </c>
      <c r="AD236" s="256">
        <f t="shared" si="47"/>
        <v>-5.7045409535994587</v>
      </c>
      <c r="AE236" s="261">
        <f t="shared" si="48"/>
        <v>3604.528866923009</v>
      </c>
      <c r="AG236" s="260">
        <f t="shared" si="49"/>
        <v>3004.2710487178174</v>
      </c>
      <c r="AH236" s="256">
        <f t="shared" si="50"/>
        <v>3815.2271582000071</v>
      </c>
      <c r="AI236" s="256">
        <f t="shared" si="51"/>
        <v>2994.295459046401</v>
      </c>
      <c r="AJ236" s="261">
        <f t="shared" si="52"/>
        <v>3814.5288669230081</v>
      </c>
    </row>
    <row r="237" spans="3:36" x14ac:dyDescent="0.25">
      <c r="C237" s="399"/>
      <c r="D237" s="256">
        <v>2378.0786528221211</v>
      </c>
      <c r="E237" s="256">
        <v>2669.5868409643426</v>
      </c>
      <c r="F237" s="256">
        <v>2386.2923524788539</v>
      </c>
      <c r="G237" s="256">
        <v>2663.8828828693895</v>
      </c>
      <c r="H237" s="256" t="s">
        <v>11</v>
      </c>
      <c r="I237" s="261">
        <v>1</v>
      </c>
      <c r="M237" s="260">
        <f>-M236</f>
        <v>10</v>
      </c>
      <c r="N237" s="256">
        <v>0</v>
      </c>
      <c r="O237" s="256">
        <f>M237</f>
        <v>10</v>
      </c>
      <c r="P237" s="256">
        <f>P236</f>
        <v>-62</v>
      </c>
      <c r="Q237" s="256" t="s">
        <v>365</v>
      </c>
      <c r="T237" s="408"/>
      <c r="U237" s="256">
        <f t="shared" si="53"/>
        <v>3.100000000000001</v>
      </c>
      <c r="V237" s="256">
        <f t="shared" si="54"/>
        <v>93.5</v>
      </c>
      <c r="W237" s="256">
        <f t="shared" si="55"/>
        <v>-13.099999999999998</v>
      </c>
      <c r="X237" s="261">
        <f t="shared" si="56"/>
        <v>93.5</v>
      </c>
      <c r="AB237" s="260">
        <f t="shared" si="45"/>
        <v>-8.7436043469964257</v>
      </c>
      <c r="AC237" s="256">
        <f t="shared" si="46"/>
        <v>3619.3027152263762</v>
      </c>
      <c r="AD237" s="256">
        <f t="shared" si="47"/>
        <v>-24.904059614690777</v>
      </c>
      <c r="AE237" s="261">
        <f t="shared" si="48"/>
        <v>3618.1714833576375</v>
      </c>
      <c r="AG237" s="260">
        <f t="shared" si="49"/>
        <v>2991.2563956530043</v>
      </c>
      <c r="AH237" s="256">
        <f t="shared" si="50"/>
        <v>3829.3027152263753</v>
      </c>
      <c r="AI237" s="256">
        <f t="shared" si="51"/>
        <v>2975.0959403853099</v>
      </c>
      <c r="AJ237" s="261">
        <f t="shared" si="52"/>
        <v>3828.1714833576366</v>
      </c>
    </row>
    <row r="238" spans="3:36" x14ac:dyDescent="0.25">
      <c r="C238" s="399"/>
      <c r="D238" s="256">
        <v>2386.2923524788539</v>
      </c>
      <c r="E238" s="256">
        <v>2663.8828828693895</v>
      </c>
      <c r="F238" s="256">
        <v>2443.3319334283883</v>
      </c>
      <c r="G238" s="256">
        <v>2746.0198794367188</v>
      </c>
      <c r="H238" s="256" t="s">
        <v>11</v>
      </c>
      <c r="I238" s="261">
        <v>1</v>
      </c>
      <c r="M238" s="260">
        <f>M233</f>
        <v>-22.2</v>
      </c>
      <c r="N238" s="256">
        <f>P237</f>
        <v>-62</v>
      </c>
      <c r="O238" s="256">
        <f>-M238</f>
        <v>22.2</v>
      </c>
      <c r="P238" s="256">
        <f>N238</f>
        <v>-62</v>
      </c>
      <c r="T238" s="408"/>
      <c r="U238" s="256">
        <f t="shared" si="53"/>
        <v>3.1000000000000019</v>
      </c>
      <c r="V238" s="256">
        <f t="shared" si="54"/>
        <v>77.5</v>
      </c>
      <c r="W238" s="256">
        <f t="shared" si="55"/>
        <v>-13.099999999999998</v>
      </c>
      <c r="X238" s="261">
        <f t="shared" si="56"/>
        <v>77.5</v>
      </c>
      <c r="AB238" s="260">
        <f t="shared" si="45"/>
        <v>-7.6263383037978034</v>
      </c>
      <c r="AC238" s="256">
        <f t="shared" si="46"/>
        <v>3603.3417717521102</v>
      </c>
      <c r="AD238" s="256">
        <f t="shared" si="47"/>
        <v>-23.786793571492154</v>
      </c>
      <c r="AE238" s="261">
        <f t="shared" si="48"/>
        <v>3602.2105398833714</v>
      </c>
      <c r="AG238" s="260">
        <f t="shared" si="49"/>
        <v>2992.3736616962028</v>
      </c>
      <c r="AH238" s="256">
        <f t="shared" si="50"/>
        <v>3813.3417717521093</v>
      </c>
      <c r="AI238" s="256">
        <f t="shared" si="51"/>
        <v>2976.2132064285083</v>
      </c>
      <c r="AJ238" s="261">
        <f t="shared" si="52"/>
        <v>3812.2105398833705</v>
      </c>
    </row>
    <row r="239" spans="3:36" x14ac:dyDescent="0.25">
      <c r="C239" s="399"/>
      <c r="D239" s="256">
        <v>2443.3319334283883</v>
      </c>
      <c r="E239" s="256">
        <v>2746.0198794367188</v>
      </c>
      <c r="F239" s="256">
        <v>2435.1182337716555</v>
      </c>
      <c r="G239" s="256">
        <v>2751.7238375316724</v>
      </c>
      <c r="H239" s="256" t="s">
        <v>11</v>
      </c>
      <c r="I239" s="261">
        <v>1</v>
      </c>
      <c r="M239" s="260">
        <f>M238</f>
        <v>-22.2</v>
      </c>
      <c r="N239" s="256">
        <f>N238</f>
        <v>-62</v>
      </c>
      <c r="O239" s="256">
        <f>M239</f>
        <v>-22.2</v>
      </c>
      <c r="P239" s="256">
        <f>N239-2</f>
        <v>-64</v>
      </c>
      <c r="T239" s="408"/>
      <c r="U239" s="256">
        <f t="shared" si="53"/>
        <v>-13.1</v>
      </c>
      <c r="V239" s="256">
        <f t="shared" si="54"/>
        <v>104.4</v>
      </c>
      <c r="W239" s="256">
        <f t="shared" si="55"/>
        <v>-13.099999999999996</v>
      </c>
      <c r="X239" s="261">
        <f t="shared" si="56"/>
        <v>66.599999999999994</v>
      </c>
      <c r="AB239" s="260">
        <f t="shared" si="45"/>
        <v>-25.665197106619843</v>
      </c>
      <c r="AC239" s="256">
        <f t="shared" si="46"/>
        <v>3629.0448760994814</v>
      </c>
      <c r="AD239" s="256">
        <f t="shared" si="47"/>
        <v>-23.025656079563092</v>
      </c>
      <c r="AE239" s="261">
        <f t="shared" si="48"/>
        <v>3591.337147141528</v>
      </c>
      <c r="AG239" s="260">
        <f t="shared" si="49"/>
        <v>2974.3348028933806</v>
      </c>
      <c r="AH239" s="256">
        <f t="shared" si="50"/>
        <v>3839.0448760994805</v>
      </c>
      <c r="AI239" s="256">
        <f t="shared" si="51"/>
        <v>2976.9743439204371</v>
      </c>
      <c r="AJ239" s="261">
        <f t="shared" si="52"/>
        <v>3801.3371471415271</v>
      </c>
    </row>
    <row r="240" spans="3:36" x14ac:dyDescent="0.25">
      <c r="C240" s="399"/>
      <c r="D240" s="256">
        <v>2435.1182337716555</v>
      </c>
      <c r="E240" s="256">
        <v>2751.7238375316724</v>
      </c>
      <c r="F240" s="256">
        <v>2373.5154863461585</v>
      </c>
      <c r="G240" s="256">
        <v>2794.5035232438231</v>
      </c>
      <c r="H240" s="256" t="s">
        <v>12</v>
      </c>
      <c r="I240" s="261">
        <v>2</v>
      </c>
      <c r="M240" s="260" cm="1">
        <f t="array" ref="M240:N240">O238:P238</f>
        <v>22.2</v>
      </c>
      <c r="N240" s="256">
        <v>-62</v>
      </c>
      <c r="O240" s="256">
        <f>M240</f>
        <v>22.2</v>
      </c>
      <c r="P240" s="256">
        <f>P239</f>
        <v>-64</v>
      </c>
      <c r="T240" s="408"/>
      <c r="U240" s="256">
        <f t="shared" si="53"/>
        <v>-13.1</v>
      </c>
      <c r="V240" s="256">
        <f t="shared" si="54"/>
        <v>104.4</v>
      </c>
      <c r="W240" s="256">
        <f t="shared" si="55"/>
        <v>-15.1</v>
      </c>
      <c r="X240" s="261">
        <f t="shared" si="56"/>
        <v>104.4</v>
      </c>
      <c r="AB240" s="260">
        <f t="shared" si="45"/>
        <v>-25.665197106619843</v>
      </c>
      <c r="AC240" s="256">
        <f t="shared" si="46"/>
        <v>3629.0448760994814</v>
      </c>
      <c r="AD240" s="256">
        <f t="shared" si="47"/>
        <v>-27.660315040903097</v>
      </c>
      <c r="AE240" s="261">
        <f t="shared" si="48"/>
        <v>3628.9052178440816</v>
      </c>
      <c r="AG240" s="260">
        <f t="shared" si="49"/>
        <v>2974.3348028933806</v>
      </c>
      <c r="AH240" s="256">
        <f t="shared" si="50"/>
        <v>3839.0448760994805</v>
      </c>
      <c r="AI240" s="256">
        <f t="shared" si="51"/>
        <v>2972.3396849590972</v>
      </c>
      <c r="AJ240" s="261">
        <f t="shared" si="52"/>
        <v>3838.9052178440807</v>
      </c>
    </row>
    <row r="241" spans="3:36" x14ac:dyDescent="0.25">
      <c r="C241" s="399"/>
      <c r="D241" s="256">
        <v>2373.5154863461585</v>
      </c>
      <c r="E241" s="256">
        <v>2794.5035232438231</v>
      </c>
      <c r="F241" s="256">
        <v>2365.3017866894252</v>
      </c>
      <c r="G241" s="256">
        <v>2800.2074813387767</v>
      </c>
      <c r="H241" s="256" t="s">
        <v>11</v>
      </c>
      <c r="I241" s="261">
        <v>1</v>
      </c>
      <c r="M241" s="260" cm="1">
        <f t="array" ref="M241:N241">O239:P239</f>
        <v>-22.2</v>
      </c>
      <c r="N241" s="256">
        <v>-64</v>
      </c>
      <c r="O241" s="256" cm="1">
        <f t="array" ref="O241:P241">O240:P240</f>
        <v>22.2</v>
      </c>
      <c r="P241" s="256">
        <v>-64</v>
      </c>
      <c r="T241" s="408"/>
      <c r="U241" s="256">
        <f t="shared" si="53"/>
        <v>-13.099999999999996</v>
      </c>
      <c r="V241" s="256">
        <f t="shared" si="54"/>
        <v>66.599999999999994</v>
      </c>
      <c r="W241" s="256">
        <f t="shared" si="55"/>
        <v>-15.099999999999996</v>
      </c>
      <c r="X241" s="261">
        <f t="shared" si="56"/>
        <v>66.599999999999994</v>
      </c>
      <c r="AB241" s="260">
        <f t="shared" si="45"/>
        <v>-23.025656079563092</v>
      </c>
      <c r="AC241" s="256">
        <f t="shared" si="46"/>
        <v>3591.337147141528</v>
      </c>
      <c r="AD241" s="256">
        <f t="shared" si="47"/>
        <v>-25.020774013846346</v>
      </c>
      <c r="AE241" s="261">
        <f t="shared" si="48"/>
        <v>3591.1974888861282</v>
      </c>
      <c r="AG241" s="260">
        <f t="shared" si="49"/>
        <v>2976.9743439204371</v>
      </c>
      <c r="AH241" s="256">
        <f t="shared" si="50"/>
        <v>3801.3371471415271</v>
      </c>
      <c r="AI241" s="256">
        <f t="shared" si="51"/>
        <v>2974.9792259861538</v>
      </c>
      <c r="AJ241" s="261">
        <f t="shared" si="52"/>
        <v>3801.1974888861273</v>
      </c>
    </row>
    <row r="242" spans="3:36" x14ac:dyDescent="0.25">
      <c r="C242" s="399"/>
      <c r="D242" s="256">
        <v>2365.3017866894252</v>
      </c>
      <c r="E242" s="256">
        <v>2800.2074813387767</v>
      </c>
      <c r="F242" s="256">
        <v>2308.2622057398908</v>
      </c>
      <c r="G242" s="256">
        <v>2718.0704847714469</v>
      </c>
      <c r="H242" s="256" t="s">
        <v>11</v>
      </c>
      <c r="I242" s="261">
        <v>1</v>
      </c>
      <c r="M242" s="260">
        <f>M241+7</f>
        <v>-15.2</v>
      </c>
      <c r="N242" s="256">
        <f>N241</f>
        <v>-64</v>
      </c>
      <c r="O242" s="256">
        <f>M242-2</f>
        <v>-17.2</v>
      </c>
      <c r="P242" s="256">
        <f>N242-2</f>
        <v>-66</v>
      </c>
      <c r="T242" s="408"/>
      <c r="U242" s="256">
        <f t="shared" si="53"/>
        <v>-15.1</v>
      </c>
      <c r="V242" s="256">
        <f t="shared" si="54"/>
        <v>104.4</v>
      </c>
      <c r="W242" s="256">
        <f t="shared" si="55"/>
        <v>-15.099999999999996</v>
      </c>
      <c r="X242" s="261">
        <f t="shared" si="56"/>
        <v>66.599999999999994</v>
      </c>
      <c r="AB242" s="260">
        <f t="shared" si="45"/>
        <v>-27.660315040903097</v>
      </c>
      <c r="AC242" s="256">
        <f t="shared" si="46"/>
        <v>3628.9052178440816</v>
      </c>
      <c r="AD242" s="256">
        <f t="shared" si="47"/>
        <v>-25.020774013846346</v>
      </c>
      <c r="AE242" s="261">
        <f t="shared" si="48"/>
        <v>3591.1974888861282</v>
      </c>
      <c r="AG242" s="260">
        <f t="shared" si="49"/>
        <v>2972.3396849590972</v>
      </c>
      <c r="AH242" s="256">
        <f t="shared" si="50"/>
        <v>3838.9052178440807</v>
      </c>
      <c r="AI242" s="256">
        <f t="shared" si="51"/>
        <v>2974.9792259861538</v>
      </c>
      <c r="AJ242" s="261">
        <f t="shared" si="52"/>
        <v>3801.1974888861273</v>
      </c>
    </row>
    <row r="243" spans="3:36" ht="15.75" thickBot="1" x14ac:dyDescent="0.3">
      <c r="C243" s="400"/>
      <c r="D243" s="264">
        <v>2453.8272163231027</v>
      </c>
      <c r="E243" s="264">
        <v>2677.8575802020255</v>
      </c>
      <c r="F243" s="264">
        <v>2297.7669228451764</v>
      </c>
      <c r="G243" s="264">
        <v>2786.2327840061407</v>
      </c>
      <c r="H243" s="264" t="s">
        <v>8</v>
      </c>
      <c r="I243" s="265">
        <v>1.5</v>
      </c>
      <c r="M243" s="260">
        <f>-M242</f>
        <v>15.2</v>
      </c>
      <c r="N243" s="256">
        <f>N242</f>
        <v>-64</v>
      </c>
      <c r="O243" s="256">
        <f>-O242</f>
        <v>17.2</v>
      </c>
      <c r="P243" s="256">
        <f>P242</f>
        <v>-66</v>
      </c>
      <c r="T243" s="408"/>
      <c r="U243" s="256">
        <f t="shared" si="53"/>
        <v>-15.099999999999998</v>
      </c>
      <c r="V243" s="256">
        <f t="shared" si="54"/>
        <v>97.4</v>
      </c>
      <c r="W243" s="256">
        <f t="shared" si="55"/>
        <v>-17.099999999999998</v>
      </c>
      <c r="X243" s="261">
        <f t="shared" si="56"/>
        <v>99.4</v>
      </c>
      <c r="AB243" s="260">
        <f t="shared" si="45"/>
        <v>-27.171511147003695</v>
      </c>
      <c r="AC243" s="256">
        <f t="shared" si="46"/>
        <v>3621.9223050740902</v>
      </c>
      <c r="AD243" s="256">
        <f t="shared" si="47"/>
        <v>-29.306287336686776</v>
      </c>
      <c r="AE243" s="261">
        <f t="shared" si="48"/>
        <v>3623.7777647529738</v>
      </c>
      <c r="AG243" s="260">
        <f t="shared" si="49"/>
        <v>2972.8284888529965</v>
      </c>
      <c r="AH243" s="256">
        <f t="shared" si="50"/>
        <v>3831.9223050740893</v>
      </c>
      <c r="AI243" s="256">
        <f t="shared" si="51"/>
        <v>2970.6937126633134</v>
      </c>
      <c r="AJ243" s="261">
        <f t="shared" si="52"/>
        <v>3833.7777647529729</v>
      </c>
    </row>
    <row r="244" spans="3:36" x14ac:dyDescent="0.25">
      <c r="C244" s="391" t="s">
        <v>325</v>
      </c>
      <c r="D244" s="258" cm="1">
        <f t="array" ref="D244:G252">AE163:AH171</f>
        <v>2545.7434430176254</v>
      </c>
      <c r="E244" s="258">
        <v>3060.0434664513846</v>
      </c>
      <c r="F244" s="258">
        <v>2553.9571426743582</v>
      </c>
      <c r="G244" s="258">
        <v>3054.3395083564315</v>
      </c>
      <c r="H244" s="258" t="s">
        <v>11</v>
      </c>
      <c r="I244" s="259">
        <v>1</v>
      </c>
      <c r="M244" s="260">
        <f>O243</f>
        <v>17.2</v>
      </c>
      <c r="N244" s="256">
        <f>P243</f>
        <v>-66</v>
      </c>
      <c r="O244" s="256">
        <f>M244</f>
        <v>17.2</v>
      </c>
      <c r="P244" s="256">
        <f>N244-12</f>
        <v>-78</v>
      </c>
      <c r="T244" s="408"/>
      <c r="U244" s="256">
        <f t="shared" si="53"/>
        <v>-15.099999999999998</v>
      </c>
      <c r="V244" s="256">
        <f t="shared" si="54"/>
        <v>73.599999999999994</v>
      </c>
      <c r="W244" s="256">
        <f t="shared" si="55"/>
        <v>-17.099999999999998</v>
      </c>
      <c r="X244" s="261">
        <f t="shared" si="56"/>
        <v>71.599999999999994</v>
      </c>
      <c r="AB244" s="260">
        <f t="shared" si="45"/>
        <v>-25.509577907745744</v>
      </c>
      <c r="AC244" s="256">
        <f t="shared" si="46"/>
        <v>3598.1804016561196</v>
      </c>
      <c r="AD244" s="256">
        <f t="shared" si="47"/>
        <v>-27.365037586629171</v>
      </c>
      <c r="AE244" s="261">
        <f t="shared" si="48"/>
        <v>3596.0456254664364</v>
      </c>
      <c r="AG244" s="260">
        <f t="shared" si="49"/>
        <v>2974.4904220922544</v>
      </c>
      <c r="AH244" s="256">
        <f t="shared" si="50"/>
        <v>3808.1804016561186</v>
      </c>
      <c r="AI244" s="256">
        <f t="shared" si="51"/>
        <v>2972.6349624133709</v>
      </c>
      <c r="AJ244" s="261">
        <f t="shared" si="52"/>
        <v>3806.0456254664355</v>
      </c>
    </row>
    <row r="245" spans="3:36" x14ac:dyDescent="0.25">
      <c r="C245" s="399"/>
      <c r="D245" s="256">
        <v>2553.9571426743582</v>
      </c>
      <c r="E245" s="256">
        <v>3054.3395083564315</v>
      </c>
      <c r="F245" s="256">
        <v>2615.5598900998557</v>
      </c>
      <c r="G245" s="256">
        <v>3011.5598226442803</v>
      </c>
      <c r="H245" s="256" t="s">
        <v>12</v>
      </c>
      <c r="I245" s="261">
        <v>2</v>
      </c>
      <c r="M245" s="260">
        <f>-M244</f>
        <v>-17.2</v>
      </c>
      <c r="N245" s="256">
        <f>N244</f>
        <v>-66</v>
      </c>
      <c r="O245" s="256">
        <f>M245</f>
        <v>-17.2</v>
      </c>
      <c r="P245" s="256">
        <f>P244</f>
        <v>-78</v>
      </c>
      <c r="T245" s="408"/>
      <c r="U245" s="256">
        <f t="shared" si="53"/>
        <v>-17.099999999999998</v>
      </c>
      <c r="V245" s="256">
        <f t="shared" si="54"/>
        <v>71.599999999999994</v>
      </c>
      <c r="W245" s="256">
        <f t="shared" si="55"/>
        <v>-26.099999999999998</v>
      </c>
      <c r="X245" s="261">
        <f t="shared" si="56"/>
        <v>71.599999999999994</v>
      </c>
      <c r="AB245" s="260">
        <f t="shared" si="45"/>
        <v>-27.365037586629171</v>
      </c>
      <c r="AC245" s="256">
        <f t="shared" si="46"/>
        <v>3596.0456254664364</v>
      </c>
      <c r="AD245" s="256">
        <f t="shared" si="47"/>
        <v>-36.343068290903808</v>
      </c>
      <c r="AE245" s="261">
        <f t="shared" si="48"/>
        <v>3595.4171633171372</v>
      </c>
      <c r="AG245" s="260">
        <f t="shared" si="49"/>
        <v>2972.6349624133709</v>
      </c>
      <c r="AH245" s="256">
        <f t="shared" si="50"/>
        <v>3806.0456254664355</v>
      </c>
      <c r="AI245" s="256">
        <f t="shared" si="51"/>
        <v>2963.6569317090962</v>
      </c>
      <c r="AJ245" s="261">
        <f t="shared" si="52"/>
        <v>3805.4171633171363</v>
      </c>
    </row>
    <row r="246" spans="3:36" x14ac:dyDescent="0.25">
      <c r="C246" s="399"/>
      <c r="D246" s="256">
        <v>2615.5598900998557</v>
      </c>
      <c r="E246" s="256">
        <v>3011.5598226442803</v>
      </c>
      <c r="F246" s="256">
        <v>2623.7735897565885</v>
      </c>
      <c r="G246" s="256">
        <v>3005.8558645493272</v>
      </c>
      <c r="H246" s="256" t="s">
        <v>11</v>
      </c>
      <c r="I246" s="261">
        <v>1</v>
      </c>
      <c r="M246" s="260" cm="1">
        <f t="array" ref="M246:N246">O245:P245</f>
        <v>-17.2</v>
      </c>
      <c r="N246" s="256">
        <v>-78</v>
      </c>
      <c r="O246" s="256">
        <f>M246+2</f>
        <v>-15.2</v>
      </c>
      <c r="P246" s="256">
        <f>N246-2</f>
        <v>-80</v>
      </c>
      <c r="T246" s="408"/>
      <c r="U246" s="256">
        <f t="shared" si="53"/>
        <v>-17.099999999999998</v>
      </c>
      <c r="V246" s="256">
        <f t="shared" si="54"/>
        <v>99.4</v>
      </c>
      <c r="W246" s="256">
        <f t="shared" si="55"/>
        <v>-26.099999999999998</v>
      </c>
      <c r="X246" s="261">
        <f t="shared" si="56"/>
        <v>99.4</v>
      </c>
      <c r="AB246" s="260">
        <f t="shared" si="45"/>
        <v>-29.306287336686776</v>
      </c>
      <c r="AC246" s="256">
        <f t="shared" si="46"/>
        <v>3623.7777647529738</v>
      </c>
      <c r="AD246" s="256">
        <f t="shared" si="47"/>
        <v>-38.284318040961416</v>
      </c>
      <c r="AE246" s="261">
        <f t="shared" si="48"/>
        <v>3623.1493026036746</v>
      </c>
      <c r="AG246" s="260">
        <f t="shared" si="49"/>
        <v>2970.6937126633134</v>
      </c>
      <c r="AH246" s="256">
        <f t="shared" si="50"/>
        <v>3833.7777647529729</v>
      </c>
      <c r="AI246" s="256">
        <f t="shared" si="51"/>
        <v>2961.7156819590386</v>
      </c>
      <c r="AJ246" s="261">
        <f t="shared" si="52"/>
        <v>3833.1493026036737</v>
      </c>
    </row>
    <row r="247" spans="3:36" x14ac:dyDescent="0.25">
      <c r="C247" s="399"/>
      <c r="D247" s="256">
        <v>2623.7735897565885</v>
      </c>
      <c r="E247" s="256">
        <v>3005.8558645493272</v>
      </c>
      <c r="F247" s="256">
        <v>2680.8131707061229</v>
      </c>
      <c r="G247" s="256">
        <v>3087.9928611166565</v>
      </c>
      <c r="H247" s="256" t="s">
        <v>11</v>
      </c>
      <c r="I247" s="261">
        <v>1</v>
      </c>
      <c r="M247" s="260" cm="1">
        <f t="array" ref="M247:N247">O244:P244</f>
        <v>17.2</v>
      </c>
      <c r="N247" s="256">
        <v>-78</v>
      </c>
      <c r="O247" s="256">
        <f>-O246</f>
        <v>15.2</v>
      </c>
      <c r="P247" s="256">
        <f>P246</f>
        <v>-80</v>
      </c>
      <c r="T247" s="408"/>
      <c r="U247" s="256">
        <f t="shared" si="53"/>
        <v>-26.099999999999998</v>
      </c>
      <c r="V247" s="256">
        <f t="shared" si="54"/>
        <v>99.4</v>
      </c>
      <c r="W247" s="256">
        <f t="shared" si="55"/>
        <v>-28.099999999999998</v>
      </c>
      <c r="X247" s="261">
        <f t="shared" si="56"/>
        <v>97.4</v>
      </c>
      <c r="AB247" s="260">
        <f t="shared" si="45"/>
        <v>-38.284318040961416</v>
      </c>
      <c r="AC247" s="256">
        <f t="shared" si="46"/>
        <v>3623.1493026036746</v>
      </c>
      <c r="AD247" s="256">
        <f t="shared" si="47"/>
        <v>-40.139777719844844</v>
      </c>
      <c r="AE247" s="261">
        <f t="shared" si="48"/>
        <v>3621.0145264139915</v>
      </c>
      <c r="AG247" s="260">
        <f t="shared" si="49"/>
        <v>2961.7156819590386</v>
      </c>
      <c r="AH247" s="256">
        <f t="shared" si="50"/>
        <v>3833.1493026036737</v>
      </c>
      <c r="AI247" s="256">
        <f t="shared" si="51"/>
        <v>2959.8602222801555</v>
      </c>
      <c r="AJ247" s="261">
        <f t="shared" si="52"/>
        <v>3831.0145264139906</v>
      </c>
    </row>
    <row r="248" spans="3:36" ht="15" customHeight="1" x14ac:dyDescent="0.25">
      <c r="C248" s="399"/>
      <c r="D248" s="256">
        <v>2680.8131707061229</v>
      </c>
      <c r="E248" s="256">
        <v>3087.9928611166565</v>
      </c>
      <c r="F248" s="256">
        <v>2672.5994710493901</v>
      </c>
      <c r="G248" s="256">
        <v>3093.6968192116101</v>
      </c>
      <c r="H248" s="256" t="s">
        <v>11</v>
      </c>
      <c r="I248" s="261">
        <v>1</v>
      </c>
      <c r="M248" s="260" cm="1">
        <f t="array" ref="M248:N248">O246:P246</f>
        <v>-15.2</v>
      </c>
      <c r="N248" s="256">
        <v>-80</v>
      </c>
      <c r="O248" s="256" cm="1">
        <f t="array" ref="O248:P248">O247:P247</f>
        <v>15.2</v>
      </c>
      <c r="P248" s="256">
        <v>-80</v>
      </c>
      <c r="T248" s="408"/>
      <c r="U248" s="256">
        <f t="shared" si="53"/>
        <v>-26.099999999999998</v>
      </c>
      <c r="V248" s="256">
        <f t="shared" si="54"/>
        <v>71.599999999999994</v>
      </c>
      <c r="W248" s="256">
        <f t="shared" si="55"/>
        <v>-28.099999999999998</v>
      </c>
      <c r="X248" s="261">
        <f t="shared" si="56"/>
        <v>73.599999999999994</v>
      </c>
      <c r="AB248" s="260">
        <f t="shared" si="45"/>
        <v>-36.343068290903808</v>
      </c>
      <c r="AC248" s="256">
        <f t="shared" si="46"/>
        <v>3595.4171633171372</v>
      </c>
      <c r="AD248" s="256">
        <f t="shared" si="47"/>
        <v>-38.477844480586896</v>
      </c>
      <c r="AE248" s="261">
        <f t="shared" si="48"/>
        <v>3597.2726229960208</v>
      </c>
      <c r="AG248" s="260">
        <f t="shared" si="49"/>
        <v>2963.6569317090962</v>
      </c>
      <c r="AH248" s="256">
        <f t="shared" si="50"/>
        <v>3805.4171633171363</v>
      </c>
      <c r="AI248" s="256">
        <f t="shared" si="51"/>
        <v>2961.5221555194134</v>
      </c>
      <c r="AJ248" s="261">
        <f t="shared" si="52"/>
        <v>3807.2726229960199</v>
      </c>
    </row>
    <row r="249" spans="3:36" x14ac:dyDescent="0.25">
      <c r="C249" s="399"/>
      <c r="D249" s="256">
        <v>2672.5994710493901</v>
      </c>
      <c r="E249" s="256">
        <v>3093.6968192116101</v>
      </c>
      <c r="F249" s="256">
        <v>2610.9967236238931</v>
      </c>
      <c r="G249" s="256">
        <v>3136.4765049237608</v>
      </c>
      <c r="H249" s="256" t="s">
        <v>12</v>
      </c>
      <c r="I249" s="261">
        <v>2</v>
      </c>
      <c r="M249" s="260">
        <f>M234</f>
        <v>-8.6</v>
      </c>
      <c r="N249" s="256">
        <f>P239</f>
        <v>-64</v>
      </c>
      <c r="O249" s="256">
        <f>M249</f>
        <v>-8.6</v>
      </c>
      <c r="P249" s="256">
        <f>P248</f>
        <v>-80</v>
      </c>
      <c r="T249" s="408"/>
      <c r="U249" s="256">
        <f t="shared" si="53"/>
        <v>-28.099999999999998</v>
      </c>
      <c r="V249" s="256">
        <f t="shared" si="54"/>
        <v>97.4</v>
      </c>
      <c r="W249" s="256">
        <f t="shared" si="55"/>
        <v>-28.099999999999998</v>
      </c>
      <c r="X249" s="261">
        <f t="shared" si="56"/>
        <v>73.599999999999994</v>
      </c>
      <c r="AB249" s="260">
        <f t="shared" si="45"/>
        <v>-40.139777719844844</v>
      </c>
      <c r="AC249" s="256">
        <f t="shared" si="46"/>
        <v>3621.0145264139915</v>
      </c>
      <c r="AD249" s="256">
        <f t="shared" si="47"/>
        <v>-38.477844480586896</v>
      </c>
      <c r="AE249" s="261">
        <f t="shared" si="48"/>
        <v>3597.2726229960208</v>
      </c>
      <c r="AG249" s="260">
        <f t="shared" si="49"/>
        <v>2959.8602222801555</v>
      </c>
      <c r="AH249" s="256">
        <f t="shared" si="50"/>
        <v>3831.0145264139906</v>
      </c>
      <c r="AI249" s="256">
        <f t="shared" si="51"/>
        <v>2961.5221555194134</v>
      </c>
      <c r="AJ249" s="261">
        <f t="shared" si="52"/>
        <v>3807.2726229960199</v>
      </c>
    </row>
    <row r="250" spans="3:36" x14ac:dyDescent="0.25">
      <c r="C250" s="399"/>
      <c r="D250" s="256">
        <v>2610.9967236238931</v>
      </c>
      <c r="E250" s="256">
        <v>3136.4765049237608</v>
      </c>
      <c r="F250" s="256">
        <v>2602.7830239671598</v>
      </c>
      <c r="G250" s="256">
        <v>3142.1804630187144</v>
      </c>
      <c r="H250" s="256" t="s">
        <v>11</v>
      </c>
      <c r="I250" s="261">
        <v>1</v>
      </c>
      <c r="M250" s="260">
        <f>-M249</f>
        <v>8.6</v>
      </c>
      <c r="N250" s="256">
        <f>N249</f>
        <v>-64</v>
      </c>
      <c r="O250" s="256">
        <f>M250</f>
        <v>8.6</v>
      </c>
      <c r="P250" s="256">
        <f>P249</f>
        <v>-80</v>
      </c>
      <c r="T250" s="408"/>
      <c r="U250" s="256">
        <f t="shared" si="53"/>
        <v>-15.099999999999998</v>
      </c>
      <c r="V250" s="256">
        <f t="shared" si="54"/>
        <v>92.45</v>
      </c>
      <c r="W250" s="256">
        <f t="shared" si="55"/>
        <v>-28.099999999999998</v>
      </c>
      <c r="X250" s="261">
        <f t="shared" si="56"/>
        <v>92.45</v>
      </c>
      <c r="AB250" s="260">
        <f t="shared" si="45"/>
        <v>-26.82585696488912</v>
      </c>
      <c r="AC250" s="256">
        <f t="shared" si="46"/>
        <v>3616.9843881867391</v>
      </c>
      <c r="AD250" s="256">
        <f t="shared" si="47"/>
        <v>-39.794123537730272</v>
      </c>
      <c r="AE250" s="261">
        <f t="shared" si="48"/>
        <v>3616.0766095266404</v>
      </c>
      <c r="AG250" s="260">
        <f t="shared" si="49"/>
        <v>2973.1741430351112</v>
      </c>
      <c r="AH250" s="256">
        <f t="shared" si="50"/>
        <v>3826.9843881867382</v>
      </c>
      <c r="AI250" s="256">
        <f t="shared" si="51"/>
        <v>2960.2058764622702</v>
      </c>
      <c r="AJ250" s="261">
        <f t="shared" si="52"/>
        <v>3826.0766095266395</v>
      </c>
    </row>
    <row r="251" spans="3:36" ht="26.25" customHeight="1" x14ac:dyDescent="0.25">
      <c r="C251" s="399"/>
      <c r="D251" s="256">
        <v>2602.7830239671598</v>
      </c>
      <c r="E251" s="256">
        <v>3142.1804630187144</v>
      </c>
      <c r="F251" s="256">
        <v>2545.7434430176254</v>
      </c>
      <c r="G251" s="256">
        <v>3060.0434664513846</v>
      </c>
      <c r="H251" s="256" t="s">
        <v>11</v>
      </c>
      <c r="I251" s="261">
        <v>1</v>
      </c>
      <c r="M251" s="260">
        <f>M236</f>
        <v>-10</v>
      </c>
      <c r="N251" s="256">
        <f>P250</f>
        <v>-80</v>
      </c>
      <c r="O251" s="256">
        <f>M251</f>
        <v>-10</v>
      </c>
      <c r="P251" s="256">
        <f>-S225+14.5+2</f>
        <v>-83.5</v>
      </c>
      <c r="T251" s="408"/>
      <c r="U251" s="256">
        <f t="shared" si="53"/>
        <v>-15.099999999999998</v>
      </c>
      <c r="V251" s="256">
        <f t="shared" si="54"/>
        <v>78.55</v>
      </c>
      <c r="W251" s="256">
        <f t="shared" si="55"/>
        <v>-28.099999999999998</v>
      </c>
      <c r="X251" s="261">
        <f t="shared" si="56"/>
        <v>78.55</v>
      </c>
      <c r="AB251" s="260">
        <f t="shared" si="45"/>
        <v>-25.855232089860316</v>
      </c>
      <c r="AC251" s="256">
        <f t="shared" si="46"/>
        <v>3603.1183185434707</v>
      </c>
      <c r="AD251" s="256">
        <f t="shared" si="47"/>
        <v>-38.823498662701468</v>
      </c>
      <c r="AE251" s="261">
        <f t="shared" si="48"/>
        <v>3602.2105398833719</v>
      </c>
      <c r="AG251" s="260">
        <f t="shared" si="49"/>
        <v>2974.1447679101402</v>
      </c>
      <c r="AH251" s="256">
        <f t="shared" si="50"/>
        <v>3813.1183185434697</v>
      </c>
      <c r="AI251" s="256">
        <f t="shared" si="51"/>
        <v>2961.1765013372992</v>
      </c>
      <c r="AJ251" s="261">
        <f t="shared" si="52"/>
        <v>3812.210539883371</v>
      </c>
    </row>
    <row r="252" spans="3:36" ht="15.75" thickBot="1" x14ac:dyDescent="0.3">
      <c r="C252" s="400"/>
      <c r="D252" s="264">
        <v>2691.3084536008373</v>
      </c>
      <c r="E252" s="264">
        <v>3019.8305618819631</v>
      </c>
      <c r="F252" s="264">
        <v>2535.248160122911</v>
      </c>
      <c r="G252" s="264">
        <v>3128.2057656860784</v>
      </c>
      <c r="H252" s="264" t="s">
        <v>8</v>
      </c>
      <c r="I252" s="265">
        <v>1.5</v>
      </c>
      <c r="M252" s="260">
        <f>-M251</f>
        <v>10</v>
      </c>
      <c r="N252" s="256">
        <f>N251</f>
        <v>-80</v>
      </c>
      <c r="O252" s="256">
        <f>M252</f>
        <v>10</v>
      </c>
      <c r="P252" s="256">
        <f>P251</f>
        <v>-83.5</v>
      </c>
      <c r="T252" s="408"/>
      <c r="U252" s="256">
        <f t="shared" si="53"/>
        <v>-28.099999999999998</v>
      </c>
      <c r="V252" s="256">
        <f t="shared" si="54"/>
        <v>93.5</v>
      </c>
      <c r="W252" s="256">
        <f t="shared" si="55"/>
        <v>-32.9</v>
      </c>
      <c r="X252" s="261">
        <f t="shared" si="56"/>
        <v>93.5</v>
      </c>
      <c r="AB252" s="260">
        <f t="shared" si="45"/>
        <v>-39.867444121815183</v>
      </c>
      <c r="AC252" s="256">
        <f t="shared" si="46"/>
        <v>3617.1240464421389</v>
      </c>
      <c r="AD252" s="256">
        <f t="shared" si="47"/>
        <v>-44.655727164094984</v>
      </c>
      <c r="AE252" s="261">
        <f t="shared" si="48"/>
        <v>3616.7888666291792</v>
      </c>
      <c r="AG252" s="260">
        <f t="shared" si="49"/>
        <v>2960.1325558781855</v>
      </c>
      <c r="AH252" s="256">
        <f t="shared" si="50"/>
        <v>3827.124046442138</v>
      </c>
      <c r="AI252" s="256">
        <f t="shared" si="51"/>
        <v>2955.3442728359055</v>
      </c>
      <c r="AJ252" s="261">
        <f t="shared" si="52"/>
        <v>3826.7888666291783</v>
      </c>
    </row>
    <row r="253" spans="3:36" x14ac:dyDescent="0.25">
      <c r="C253" s="391" t="s">
        <v>326</v>
      </c>
      <c r="D253" s="258" t="str" cm="1">
        <f t="array" ref="D253:G261">AK153:AN161</f>
        <v>-</v>
      </c>
      <c r="E253" s="258" t="str">
        <v>-</v>
      </c>
      <c r="F253" s="258" t="str">
        <v>-</v>
      </c>
      <c r="G253" s="258" t="str">
        <v>-</v>
      </c>
      <c r="H253" s="258" t="s">
        <v>11</v>
      </c>
      <c r="I253" s="259">
        <v>1</v>
      </c>
      <c r="M253" s="260" cm="1">
        <f t="array" ref="M253:N253">O251:P251</f>
        <v>-10</v>
      </c>
      <c r="N253" s="256">
        <v>-83.5</v>
      </c>
      <c r="O253" s="256">
        <f>M251+2</f>
        <v>-8</v>
      </c>
      <c r="P253" s="256">
        <f>P252-2</f>
        <v>-85.5</v>
      </c>
      <c r="T253" s="408"/>
      <c r="U253" s="256">
        <f t="shared" si="53"/>
        <v>-28.099999999999998</v>
      </c>
      <c r="V253" s="256">
        <f t="shared" si="54"/>
        <v>77.5</v>
      </c>
      <c r="W253" s="256">
        <f t="shared" si="55"/>
        <v>-32.9</v>
      </c>
      <c r="X253" s="261">
        <f t="shared" si="56"/>
        <v>77.5</v>
      </c>
      <c r="AB253" s="260">
        <f t="shared" si="45"/>
        <v>-38.750178078616557</v>
      </c>
      <c r="AC253" s="256">
        <f t="shared" si="46"/>
        <v>3601.1631029678729</v>
      </c>
      <c r="AD253" s="256">
        <f t="shared" si="47"/>
        <v>-43.538461120896365</v>
      </c>
      <c r="AE253" s="261">
        <f t="shared" si="48"/>
        <v>3600.8279231549132</v>
      </c>
      <c r="AG253" s="260">
        <f t="shared" si="49"/>
        <v>2961.249821921384</v>
      </c>
      <c r="AH253" s="256">
        <f t="shared" si="50"/>
        <v>3811.163102967872</v>
      </c>
      <c r="AI253" s="256">
        <f t="shared" si="51"/>
        <v>2956.461538879104</v>
      </c>
      <c r="AJ253" s="261">
        <f t="shared" si="52"/>
        <v>3810.8279231549122</v>
      </c>
    </row>
    <row r="254" spans="3:36" x14ac:dyDescent="0.25">
      <c r="C254" s="399"/>
      <c r="D254" s="256">
        <v>0</v>
      </c>
      <c r="E254" s="256">
        <v>0</v>
      </c>
      <c r="F254" s="256">
        <v>0</v>
      </c>
      <c r="G254" s="256">
        <v>0</v>
      </c>
      <c r="H254" s="256" t="s">
        <v>12</v>
      </c>
      <c r="I254" s="261">
        <v>2</v>
      </c>
      <c r="M254" s="260" cm="1">
        <f t="array" ref="M254:N254">O252:P252</f>
        <v>10</v>
      </c>
      <c r="N254" s="256">
        <v>-83.5</v>
      </c>
      <c r="O254" s="256">
        <f>M254-2</f>
        <v>8</v>
      </c>
      <c r="P254" s="256">
        <f>P253</f>
        <v>-85.5</v>
      </c>
      <c r="T254" s="408"/>
      <c r="U254" s="256">
        <f t="shared" si="53"/>
        <v>-32.9</v>
      </c>
      <c r="V254" s="256">
        <f t="shared" si="54"/>
        <v>93.5</v>
      </c>
      <c r="W254" s="256">
        <f t="shared" si="55"/>
        <v>-34.9</v>
      </c>
      <c r="X254" s="261">
        <f t="shared" si="56"/>
        <v>91.5</v>
      </c>
      <c r="AB254" s="260">
        <f t="shared" si="45"/>
        <v>-44.655727164094984</v>
      </c>
      <c r="AC254" s="256">
        <f t="shared" si="46"/>
        <v>3616.7888666291792</v>
      </c>
      <c r="AD254" s="256">
        <f t="shared" si="47"/>
        <v>-46.511186842978411</v>
      </c>
      <c r="AE254" s="261">
        <f t="shared" si="48"/>
        <v>3614.6540904394965</v>
      </c>
      <c r="AG254" s="260">
        <f t="shared" si="49"/>
        <v>2955.3442728359055</v>
      </c>
      <c r="AH254" s="256">
        <f t="shared" si="50"/>
        <v>3826.7888666291783</v>
      </c>
      <c r="AI254" s="256">
        <f t="shared" si="51"/>
        <v>2953.4888131570219</v>
      </c>
      <c r="AJ254" s="261">
        <f t="shared" si="52"/>
        <v>3824.6540904394956</v>
      </c>
    </row>
    <row r="255" spans="3:36" x14ac:dyDescent="0.25">
      <c r="C255" s="399"/>
      <c r="D255" s="256">
        <v>0</v>
      </c>
      <c r="E255" s="256">
        <v>0</v>
      </c>
      <c r="F255" s="256">
        <v>0</v>
      </c>
      <c r="G255" s="256">
        <v>0</v>
      </c>
      <c r="H255" s="256" t="s">
        <v>11</v>
      </c>
      <c r="I255" s="261">
        <v>1</v>
      </c>
      <c r="M255" s="260" cm="1">
        <f t="array" ref="M255:N255">O253:P253</f>
        <v>-8</v>
      </c>
      <c r="N255" s="256">
        <v>-85.5</v>
      </c>
      <c r="O255" s="256" cm="1">
        <f t="array" ref="O255:P255">O254:P254</f>
        <v>8</v>
      </c>
      <c r="P255" s="256">
        <v>-85.5</v>
      </c>
      <c r="T255" s="408"/>
      <c r="U255" s="256">
        <f t="shared" si="53"/>
        <v>-32.9</v>
      </c>
      <c r="V255" s="256">
        <f t="shared" si="54"/>
        <v>77.5</v>
      </c>
      <c r="W255" s="256">
        <f t="shared" si="55"/>
        <v>-34.9</v>
      </c>
      <c r="X255" s="261">
        <f t="shared" si="56"/>
        <v>79.5</v>
      </c>
      <c r="AB255" s="260">
        <f t="shared" si="45"/>
        <v>-43.538461120896365</v>
      </c>
      <c r="AC255" s="256">
        <f t="shared" si="46"/>
        <v>3600.8279231549132</v>
      </c>
      <c r="AD255" s="256">
        <f t="shared" si="47"/>
        <v>-45.673237310579445</v>
      </c>
      <c r="AE255" s="261">
        <f t="shared" si="48"/>
        <v>3602.6833828337967</v>
      </c>
      <c r="AG255" s="260">
        <f t="shared" si="49"/>
        <v>2956.461538879104</v>
      </c>
      <c r="AH255" s="256">
        <f t="shared" si="50"/>
        <v>3810.8279231549122</v>
      </c>
      <c r="AI255" s="256">
        <f t="shared" si="51"/>
        <v>2954.3267626894208</v>
      </c>
      <c r="AJ255" s="261">
        <f t="shared" si="52"/>
        <v>3812.6833828337958</v>
      </c>
    </row>
    <row r="256" spans="3:36" ht="15.75" thickBot="1" x14ac:dyDescent="0.3">
      <c r="C256" s="399"/>
      <c r="D256" s="256">
        <v>0</v>
      </c>
      <c r="E256" s="256">
        <v>0</v>
      </c>
      <c r="F256" s="256">
        <v>0</v>
      </c>
      <c r="G256" s="256">
        <v>0</v>
      </c>
      <c r="H256" s="256" t="s">
        <v>11</v>
      </c>
      <c r="I256" s="261">
        <v>1</v>
      </c>
      <c r="M256" s="263">
        <v>0</v>
      </c>
      <c r="N256" s="264">
        <f>14.5+S227*S225</f>
        <v>39.5</v>
      </c>
      <c r="O256" s="264">
        <f>0</f>
        <v>0</v>
      </c>
      <c r="P256" s="264">
        <f>-S225+14.5-S227*S225</f>
        <v>-110.5</v>
      </c>
      <c r="Q256" s="264" t="s">
        <v>366</v>
      </c>
      <c r="R256" s="264"/>
      <c r="S256" s="264"/>
      <c r="T256" s="408"/>
      <c r="U256" s="256">
        <f t="shared" si="53"/>
        <v>-34.9</v>
      </c>
      <c r="V256" s="256">
        <f t="shared" si="54"/>
        <v>91.5</v>
      </c>
      <c r="W256" s="256">
        <f t="shared" si="55"/>
        <v>-34.9</v>
      </c>
      <c r="X256" s="261">
        <f t="shared" si="56"/>
        <v>79.5</v>
      </c>
      <c r="AB256" s="260">
        <f t="shared" si="45"/>
        <v>-46.511186842978411</v>
      </c>
      <c r="AC256" s="256">
        <f t="shared" si="46"/>
        <v>3614.6540904394965</v>
      </c>
      <c r="AD256" s="256">
        <f t="shared" si="47"/>
        <v>-45.673237310579445</v>
      </c>
      <c r="AE256" s="261">
        <f t="shared" si="48"/>
        <v>3602.6833828337967</v>
      </c>
      <c r="AG256" s="260">
        <f t="shared" si="49"/>
        <v>2953.4888131570219</v>
      </c>
      <c r="AH256" s="256">
        <f t="shared" si="50"/>
        <v>3824.6540904394956</v>
      </c>
      <c r="AI256" s="256">
        <f t="shared" si="51"/>
        <v>2954.3267626894208</v>
      </c>
      <c r="AJ256" s="261">
        <f t="shared" si="52"/>
        <v>3812.6833828337958</v>
      </c>
    </row>
    <row r="257" spans="3:36" ht="15.75" thickBot="1" x14ac:dyDescent="0.3">
      <c r="C257" s="399"/>
      <c r="D257" s="256">
        <v>0</v>
      </c>
      <c r="E257" s="256">
        <v>0</v>
      </c>
      <c r="F257" s="256">
        <v>0</v>
      </c>
      <c r="G257" s="256">
        <v>0</v>
      </c>
      <c r="H257" s="256" t="s">
        <v>11</v>
      </c>
      <c r="I257" s="261">
        <v>1</v>
      </c>
      <c r="T257" s="408"/>
      <c r="U257" s="256">
        <f t="shared" si="53"/>
        <v>27.6</v>
      </c>
      <c r="V257" s="256">
        <f t="shared" si="54"/>
        <v>85.5</v>
      </c>
      <c r="W257" s="256">
        <f t="shared" si="55"/>
        <v>-47.4</v>
      </c>
      <c r="X257" s="261">
        <f t="shared" si="56"/>
        <v>85.5</v>
      </c>
      <c r="AB257" s="263">
        <f t="shared" si="45"/>
        <v>16.25522336957274</v>
      </c>
      <c r="AC257" s="264">
        <f t="shared" si="46"/>
        <v>3613.0330571178911</v>
      </c>
      <c r="AD257" s="264">
        <f t="shared" si="47"/>
        <v>-58.561699166049266</v>
      </c>
      <c r="AE257" s="265">
        <f t="shared" si="48"/>
        <v>3607.7958725403973</v>
      </c>
      <c r="AG257" s="263">
        <f t="shared" si="49"/>
        <v>3016.2552233695733</v>
      </c>
      <c r="AH257" s="264">
        <f t="shared" si="50"/>
        <v>3823.0330571178902</v>
      </c>
      <c r="AI257" s="264">
        <f t="shared" si="51"/>
        <v>2941.4383008339514</v>
      </c>
      <c r="AJ257" s="265">
        <f t="shared" si="52"/>
        <v>3817.7958725403964</v>
      </c>
    </row>
    <row r="258" spans="3:36" x14ac:dyDescent="0.25">
      <c r="C258" s="399"/>
      <c r="D258" s="256">
        <v>0</v>
      </c>
      <c r="E258" s="256">
        <v>0</v>
      </c>
      <c r="F258" s="256">
        <v>0</v>
      </c>
      <c r="G258" s="256">
        <v>0</v>
      </c>
      <c r="H258" s="256" t="s">
        <v>12</v>
      </c>
      <c r="I258" s="261">
        <v>2</v>
      </c>
      <c r="M258" s="394" t="s">
        <v>15</v>
      </c>
      <c r="N258" s="395"/>
      <c r="O258" s="395"/>
      <c r="P258" s="395"/>
      <c r="Q258" s="395"/>
      <c r="R258" s="395"/>
      <c r="S258" s="395"/>
      <c r="T258" s="407" t="s">
        <v>415</v>
      </c>
      <c r="U258" s="258">
        <f>$R$268+M261*COS($Z$227)-N261*SIN($Z$227)</f>
        <v>15.100000000000001</v>
      </c>
      <c r="V258" s="258">
        <f>$S$268+M261*SIN($Z$227)+N261*COS($Z$227)</f>
        <v>166.4</v>
      </c>
      <c r="W258" s="258">
        <f>$R$268+O261*COS($Z$227)-P261*SIN($Z$227)</f>
        <v>15.100000000000001</v>
      </c>
      <c r="X258" s="259">
        <f>$S$268+O261*SIN($Z$227)+P261*COS($Z$227)</f>
        <v>142.6</v>
      </c>
      <c r="AB258" s="257">
        <f t="shared" si="45"/>
        <v>-1.863440150620626</v>
      </c>
      <c r="AC258" s="258">
        <f t="shared" si="46"/>
        <v>3692.8627134633998</v>
      </c>
      <c r="AD258" s="258">
        <f t="shared" si="47"/>
        <v>-0.2015069113626744</v>
      </c>
      <c r="AE258" s="259">
        <f t="shared" si="48"/>
        <v>3669.1208100454292</v>
      </c>
      <c r="AG258" s="257">
        <f t="shared" si="49"/>
        <v>2998.1365598493799</v>
      </c>
      <c r="AH258" s="258">
        <f t="shared" si="50"/>
        <v>3902.8627134633989</v>
      </c>
      <c r="AI258" s="258">
        <f t="shared" si="51"/>
        <v>2999.7984930886378</v>
      </c>
      <c r="AJ258" s="259">
        <f t="shared" si="52"/>
        <v>3879.1208100454282</v>
      </c>
    </row>
    <row r="259" spans="3:36" x14ac:dyDescent="0.25">
      <c r="C259" s="399"/>
      <c r="D259" s="256">
        <v>0</v>
      </c>
      <c r="E259" s="256">
        <v>0</v>
      </c>
      <c r="F259" s="256">
        <v>0</v>
      </c>
      <c r="G259" s="256">
        <v>0</v>
      </c>
      <c r="H259" s="256" t="s">
        <v>11</v>
      </c>
      <c r="I259" s="261">
        <v>1</v>
      </c>
      <c r="M259" s="399" t="s">
        <v>411</v>
      </c>
      <c r="N259" s="364"/>
      <c r="O259" s="364"/>
      <c r="P259" s="364"/>
      <c r="Q259" s="364"/>
      <c r="R259" s="364"/>
      <c r="S259" s="364"/>
      <c r="T259" s="408"/>
      <c r="U259" s="256">
        <f t="shared" ref="U259:U289" si="57">$R$268+M262*COS($Z$227)-N262*SIN($Z$227)</f>
        <v>15.100000000000001</v>
      </c>
      <c r="V259" s="256">
        <f t="shared" ref="V259:V289" si="58">$S$268+M262*SIN($Z$227)+N262*COS($Z$227)</f>
        <v>142.6</v>
      </c>
      <c r="W259" s="256">
        <f t="shared" ref="W259:W289" si="59">$R$268+O262*COS($Z$227)-P262*SIN($Z$227)</f>
        <v>13.100000000000001</v>
      </c>
      <c r="X259" s="261">
        <f t="shared" ref="X259:X289" si="60">$S$268+O262*SIN($Z$227)+P262*COS($Z$227)</f>
        <v>140.6</v>
      </c>
      <c r="AB259" s="260">
        <f t="shared" si="45"/>
        <v>-0.2015069113626744</v>
      </c>
      <c r="AC259" s="256">
        <f t="shared" si="46"/>
        <v>3669.1208100454292</v>
      </c>
      <c r="AD259" s="256">
        <f t="shared" si="47"/>
        <v>-2.0569665902461027</v>
      </c>
      <c r="AE259" s="261">
        <f t="shared" si="48"/>
        <v>3666.986033855746</v>
      </c>
      <c r="AG259" s="260">
        <f t="shared" si="49"/>
        <v>2999.7984930886378</v>
      </c>
      <c r="AH259" s="256">
        <f t="shared" si="50"/>
        <v>3879.1208100454282</v>
      </c>
      <c r="AI259" s="256">
        <f t="shared" si="51"/>
        <v>2997.9430334097542</v>
      </c>
      <c r="AJ259" s="261">
        <f t="shared" si="52"/>
        <v>3876.9860338557451</v>
      </c>
    </row>
    <row r="260" spans="3:36" x14ac:dyDescent="0.25">
      <c r="C260" s="399"/>
      <c r="D260" s="256">
        <v>0</v>
      </c>
      <c r="E260" s="256">
        <v>0</v>
      </c>
      <c r="F260" s="256">
        <v>0</v>
      </c>
      <c r="G260" s="256">
        <v>0</v>
      </c>
      <c r="H260" s="256" t="s">
        <v>11</v>
      </c>
      <c r="I260" s="261">
        <v>1</v>
      </c>
      <c r="M260" s="413" t="s">
        <v>362</v>
      </c>
      <c r="N260" s="414"/>
      <c r="O260" s="414"/>
      <c r="P260" s="414"/>
      <c r="T260" s="408"/>
      <c r="U260" s="256">
        <f t="shared" si="57"/>
        <v>15.100000000000001</v>
      </c>
      <c r="V260" s="256">
        <f t="shared" si="58"/>
        <v>166.4</v>
      </c>
      <c r="W260" s="256">
        <f t="shared" si="59"/>
        <v>13.100000000000001</v>
      </c>
      <c r="X260" s="261">
        <f t="shared" si="60"/>
        <v>168.4</v>
      </c>
      <c r="AB260" s="260">
        <f t="shared" si="45"/>
        <v>-1.863440150620626</v>
      </c>
      <c r="AC260" s="256">
        <f t="shared" si="46"/>
        <v>3692.8627134633998</v>
      </c>
      <c r="AD260" s="256">
        <f t="shared" si="47"/>
        <v>-3.998216340303709</v>
      </c>
      <c r="AE260" s="261">
        <f t="shared" si="48"/>
        <v>3694.7181731422834</v>
      </c>
      <c r="AG260" s="260">
        <f t="shared" si="49"/>
        <v>2998.1365598493799</v>
      </c>
      <c r="AH260" s="256">
        <f t="shared" si="50"/>
        <v>3902.8627134633989</v>
      </c>
      <c r="AI260" s="256">
        <f t="shared" si="51"/>
        <v>2996.0017836596967</v>
      </c>
      <c r="AJ260" s="261">
        <f t="shared" si="52"/>
        <v>3904.7181731422825</v>
      </c>
    </row>
    <row r="261" spans="3:36" ht="15.75" thickBot="1" x14ac:dyDescent="0.3">
      <c r="C261" s="400"/>
      <c r="D261" s="264">
        <v>0</v>
      </c>
      <c r="E261" s="264">
        <v>0</v>
      </c>
      <c r="F261" s="264">
        <v>0</v>
      </c>
      <c r="G261" s="264">
        <v>0</v>
      </c>
      <c r="H261" s="264" t="s">
        <v>8</v>
      </c>
      <c r="I261" s="265">
        <v>1.5</v>
      </c>
      <c r="M261" s="260">
        <v>-11.9</v>
      </c>
      <c r="N261" s="256">
        <v>12</v>
      </c>
      <c r="O261" s="256">
        <v>11.9</v>
      </c>
      <c r="P261" s="256">
        <v>12</v>
      </c>
      <c r="R261" s="283" t="s">
        <v>363</v>
      </c>
      <c r="S261" s="256">
        <f>_xlfn.CEILING.MATH(S262+12+15+2,10)</f>
        <v>50</v>
      </c>
      <c r="T261" s="408"/>
      <c r="U261" s="256">
        <f t="shared" si="57"/>
        <v>13.100000000000001</v>
      </c>
      <c r="V261" s="256">
        <f t="shared" si="58"/>
        <v>140.6</v>
      </c>
      <c r="W261" s="256">
        <f t="shared" si="59"/>
        <v>5.1000000000000023</v>
      </c>
      <c r="X261" s="261">
        <f t="shared" si="60"/>
        <v>140.6</v>
      </c>
      <c r="AB261" s="260">
        <f t="shared" si="45"/>
        <v>-2.0569665902461027</v>
      </c>
      <c r="AC261" s="256">
        <f t="shared" si="46"/>
        <v>3666.986033855746</v>
      </c>
      <c r="AD261" s="256">
        <f t="shared" si="47"/>
        <v>-10.037438327379114</v>
      </c>
      <c r="AE261" s="261">
        <f t="shared" si="48"/>
        <v>3666.4274008341467</v>
      </c>
      <c r="AG261" s="260">
        <f t="shared" si="49"/>
        <v>2997.9430334097542</v>
      </c>
      <c r="AH261" s="256">
        <f t="shared" si="50"/>
        <v>3876.9860338557451</v>
      </c>
      <c r="AI261" s="256">
        <f t="shared" si="51"/>
        <v>2989.9625616726212</v>
      </c>
      <c r="AJ261" s="261">
        <f t="shared" si="52"/>
        <v>3876.4274008341458</v>
      </c>
    </row>
    <row r="262" spans="3:36" x14ac:dyDescent="0.25">
      <c r="C262" s="391" t="s">
        <v>327</v>
      </c>
      <c r="D262" s="258" t="str" cm="1">
        <f t="array" ref="D262:G270">AK163:AN171</f>
        <v>-</v>
      </c>
      <c r="E262" s="258" t="str">
        <v>-</v>
      </c>
      <c r="F262" s="258" t="str">
        <v>-</v>
      </c>
      <c r="G262" s="258" t="str">
        <v>-</v>
      </c>
      <c r="H262" s="258" t="s">
        <v>11</v>
      </c>
      <c r="I262" s="259">
        <v>1</v>
      </c>
      <c r="M262" s="260" cm="1">
        <f t="array" ref="M262:N262">O261:P261</f>
        <v>11.9</v>
      </c>
      <c r="N262" s="256">
        <v>12</v>
      </c>
      <c r="O262" s="256">
        <f>M262+2</f>
        <v>13.9</v>
      </c>
      <c r="P262" s="256">
        <f>N262-2</f>
        <v>10</v>
      </c>
      <c r="R262" s="283" t="s">
        <v>364</v>
      </c>
      <c r="S262" s="256">
        <f>Parametry!H29+Parametry!H36</f>
        <v>16.2</v>
      </c>
      <c r="T262" s="408"/>
      <c r="U262" s="256">
        <f t="shared" si="57"/>
        <v>13.100000000000001</v>
      </c>
      <c r="V262" s="256">
        <f t="shared" si="58"/>
        <v>168.4</v>
      </c>
      <c r="W262" s="256">
        <f t="shared" si="59"/>
        <v>5.1000000000000005</v>
      </c>
      <c r="X262" s="261">
        <f t="shared" si="60"/>
        <v>168.4</v>
      </c>
      <c r="AB262" s="260">
        <f t="shared" si="45"/>
        <v>-3.998216340303709</v>
      </c>
      <c r="AC262" s="256">
        <f t="shared" si="46"/>
        <v>3694.7181731422834</v>
      </c>
      <c r="AD262" s="256">
        <f t="shared" si="47"/>
        <v>-11.978688077436722</v>
      </c>
      <c r="AE262" s="261">
        <f t="shared" si="48"/>
        <v>3694.1595401206841</v>
      </c>
      <c r="AG262" s="260">
        <f t="shared" si="49"/>
        <v>2996.0017836596967</v>
      </c>
      <c r="AH262" s="256">
        <f t="shared" si="50"/>
        <v>3904.7181731422825</v>
      </c>
      <c r="AI262" s="256">
        <f t="shared" si="51"/>
        <v>2988.0213119225637</v>
      </c>
      <c r="AJ262" s="261">
        <f t="shared" si="52"/>
        <v>3904.1595401206832</v>
      </c>
    </row>
    <row r="263" spans="3:36" x14ac:dyDescent="0.25">
      <c r="C263" s="399"/>
      <c r="D263" s="256">
        <v>0</v>
      </c>
      <c r="E263" s="256">
        <v>0</v>
      </c>
      <c r="F263" s="256">
        <v>0</v>
      </c>
      <c r="G263" s="256">
        <v>0</v>
      </c>
      <c r="H263" s="256" t="s">
        <v>12</v>
      </c>
      <c r="I263" s="261">
        <v>2</v>
      </c>
      <c r="M263" s="260" cm="1">
        <f t="array" ref="M263:N263">M261:N261</f>
        <v>-11.9</v>
      </c>
      <c r="N263" s="256">
        <v>12</v>
      </c>
      <c r="O263" s="256">
        <f>M263-2</f>
        <v>-13.9</v>
      </c>
      <c r="P263" s="256">
        <f>N263-2</f>
        <v>10</v>
      </c>
      <c r="R263" s="283" t="s">
        <v>367</v>
      </c>
      <c r="S263" s="256">
        <v>0.25</v>
      </c>
      <c r="T263" s="408"/>
      <c r="U263" s="256">
        <f t="shared" si="57"/>
        <v>5.0999999999999996</v>
      </c>
      <c r="V263" s="256">
        <f t="shared" si="58"/>
        <v>173.4</v>
      </c>
      <c r="W263" s="256">
        <f t="shared" si="59"/>
        <v>5.1000000000000032</v>
      </c>
      <c r="X263" s="261">
        <f t="shared" si="60"/>
        <v>135.6</v>
      </c>
      <c r="AB263" s="260">
        <f t="shared" si="45"/>
        <v>-12.327833715936293</v>
      </c>
      <c r="AC263" s="256">
        <f t="shared" si="46"/>
        <v>3699.1473349563921</v>
      </c>
      <c r="AD263" s="256">
        <f t="shared" si="47"/>
        <v>-9.6882926888795442</v>
      </c>
      <c r="AE263" s="261">
        <f t="shared" si="48"/>
        <v>3661.4396059984388</v>
      </c>
      <c r="AG263" s="260">
        <f t="shared" si="49"/>
        <v>2987.6721662840641</v>
      </c>
      <c r="AH263" s="256">
        <f t="shared" si="50"/>
        <v>3909.1473349563912</v>
      </c>
      <c r="AI263" s="256">
        <f t="shared" si="51"/>
        <v>2990.3117073111207</v>
      </c>
      <c r="AJ263" s="261">
        <f t="shared" si="52"/>
        <v>3871.4396059984379</v>
      </c>
    </row>
    <row r="264" spans="3:36" x14ac:dyDescent="0.25">
      <c r="C264" s="399"/>
      <c r="D264" s="256">
        <v>0</v>
      </c>
      <c r="E264" s="256">
        <v>0</v>
      </c>
      <c r="F264" s="256">
        <v>0</v>
      </c>
      <c r="G264" s="256">
        <v>0</v>
      </c>
      <c r="H264" s="256" t="s">
        <v>11</v>
      </c>
      <c r="I264" s="261">
        <v>1</v>
      </c>
      <c r="M264" s="260" cm="1">
        <f t="array" ref="M264:N264">O262:P262</f>
        <v>13.9</v>
      </c>
      <c r="N264" s="256">
        <v>10</v>
      </c>
      <c r="O264" s="256">
        <f>M264</f>
        <v>13.9</v>
      </c>
      <c r="P264" s="256">
        <f>N264-8</f>
        <v>2</v>
      </c>
      <c r="T264" s="408"/>
      <c r="U264" s="256">
        <f t="shared" si="57"/>
        <v>5.0999999999999996</v>
      </c>
      <c r="V264" s="256">
        <f t="shared" si="58"/>
        <v>173.4</v>
      </c>
      <c r="W264" s="256">
        <f t="shared" si="59"/>
        <v>3.1</v>
      </c>
      <c r="X264" s="261">
        <f t="shared" si="60"/>
        <v>173.4</v>
      </c>
      <c r="AB264" s="260">
        <f t="shared" si="45"/>
        <v>-12.327833715936293</v>
      </c>
      <c r="AC264" s="256">
        <f t="shared" si="46"/>
        <v>3699.1473349563921</v>
      </c>
      <c r="AD264" s="256">
        <f t="shared" si="47"/>
        <v>-14.322951650219547</v>
      </c>
      <c r="AE264" s="261">
        <f t="shared" si="48"/>
        <v>3699.0076767009923</v>
      </c>
      <c r="AG264" s="260">
        <f t="shared" si="49"/>
        <v>2987.6721662840641</v>
      </c>
      <c r="AH264" s="256">
        <f t="shared" si="50"/>
        <v>3909.1473349563912</v>
      </c>
      <c r="AI264" s="256">
        <f t="shared" si="51"/>
        <v>2985.6770483497808</v>
      </c>
      <c r="AJ264" s="261">
        <f t="shared" si="52"/>
        <v>3909.0076767009914</v>
      </c>
    </row>
    <row r="265" spans="3:36" x14ac:dyDescent="0.25">
      <c r="C265" s="399"/>
      <c r="D265" s="256">
        <v>0</v>
      </c>
      <c r="E265" s="256">
        <v>0</v>
      </c>
      <c r="F265" s="256">
        <v>0</v>
      </c>
      <c r="G265" s="256">
        <v>0</v>
      </c>
      <c r="H265" s="256" t="s">
        <v>11</v>
      </c>
      <c r="I265" s="261">
        <v>1</v>
      </c>
      <c r="M265" s="260" cm="1">
        <f t="array" ref="M265:N265">O263:P263</f>
        <v>-13.9</v>
      </c>
      <c r="N265" s="256">
        <v>10</v>
      </c>
      <c r="O265" s="256">
        <f>M265</f>
        <v>-13.9</v>
      </c>
      <c r="P265" s="256">
        <f>N265-8</f>
        <v>2</v>
      </c>
      <c r="R265" s="364" t="s">
        <v>369</v>
      </c>
      <c r="S265" s="364"/>
      <c r="T265" s="408"/>
      <c r="U265" s="256">
        <f t="shared" si="57"/>
        <v>5.1000000000000032</v>
      </c>
      <c r="V265" s="256">
        <f t="shared" si="58"/>
        <v>135.6</v>
      </c>
      <c r="W265" s="256">
        <f t="shared" si="59"/>
        <v>3.1000000000000028</v>
      </c>
      <c r="X265" s="261">
        <f t="shared" si="60"/>
        <v>135.6</v>
      </c>
      <c r="AB265" s="260">
        <f t="shared" si="45"/>
        <v>-9.6882926888795442</v>
      </c>
      <c r="AC265" s="256">
        <f t="shared" si="46"/>
        <v>3661.4396059984388</v>
      </c>
      <c r="AD265" s="256">
        <f t="shared" si="47"/>
        <v>-11.683410623162798</v>
      </c>
      <c r="AE265" s="261">
        <f t="shared" si="48"/>
        <v>3661.299947743039</v>
      </c>
      <c r="AG265" s="260">
        <f t="shared" si="49"/>
        <v>2990.3117073111207</v>
      </c>
      <c r="AH265" s="256">
        <f t="shared" si="50"/>
        <v>3871.4396059984379</v>
      </c>
      <c r="AI265" s="256">
        <f t="shared" si="51"/>
        <v>2988.3165893768378</v>
      </c>
      <c r="AJ265" s="261">
        <f t="shared" si="52"/>
        <v>3871.299947743038</v>
      </c>
    </row>
    <row r="266" spans="3:36" x14ac:dyDescent="0.25">
      <c r="C266" s="399"/>
      <c r="D266" s="256">
        <v>0</v>
      </c>
      <c r="E266" s="256">
        <v>0</v>
      </c>
      <c r="F266" s="256">
        <v>0</v>
      </c>
      <c r="G266" s="256">
        <v>0</v>
      </c>
      <c r="H266" s="256" t="s">
        <v>11</v>
      </c>
      <c r="I266" s="261">
        <v>1</v>
      </c>
      <c r="M266" s="260">
        <f>M265-5</f>
        <v>-18.899999999999999</v>
      </c>
      <c r="N266" s="256">
        <f>P265</f>
        <v>2</v>
      </c>
      <c r="O266" s="256">
        <f>O264+5</f>
        <v>18.899999999999999</v>
      </c>
      <c r="P266" s="256">
        <f>P264</f>
        <v>2</v>
      </c>
      <c r="R266" s="283" t="s">
        <v>83</v>
      </c>
      <c r="S266" s="283" t="s">
        <v>84</v>
      </c>
      <c r="T266" s="408"/>
      <c r="U266" s="256">
        <f t="shared" si="57"/>
        <v>3.1</v>
      </c>
      <c r="V266" s="256">
        <f t="shared" si="58"/>
        <v>173.4</v>
      </c>
      <c r="W266" s="256">
        <f t="shared" si="59"/>
        <v>3.1000000000000028</v>
      </c>
      <c r="X266" s="261">
        <f t="shared" si="60"/>
        <v>135.6</v>
      </c>
      <c r="AB266" s="260">
        <f t="shared" si="45"/>
        <v>-14.322951650219547</v>
      </c>
      <c r="AC266" s="256">
        <f t="shared" si="46"/>
        <v>3699.0076767009923</v>
      </c>
      <c r="AD266" s="256">
        <f t="shared" si="47"/>
        <v>-11.683410623162798</v>
      </c>
      <c r="AE266" s="261">
        <f t="shared" si="48"/>
        <v>3661.299947743039</v>
      </c>
      <c r="AG266" s="260">
        <f t="shared" si="49"/>
        <v>2985.6770483497808</v>
      </c>
      <c r="AH266" s="256">
        <f t="shared" si="50"/>
        <v>3909.0076767009914</v>
      </c>
      <c r="AI266" s="256">
        <f t="shared" si="51"/>
        <v>2988.3165893768378</v>
      </c>
      <c r="AJ266" s="261">
        <f t="shared" si="52"/>
        <v>3871.299947743038</v>
      </c>
    </row>
    <row r="267" spans="3:36" x14ac:dyDescent="0.25">
      <c r="C267" s="399"/>
      <c r="D267" s="256">
        <v>0</v>
      </c>
      <c r="E267" s="256">
        <v>0</v>
      </c>
      <c r="F267" s="256">
        <v>0</v>
      </c>
      <c r="G267" s="256">
        <v>0</v>
      </c>
      <c r="H267" s="256" t="s">
        <v>12</v>
      </c>
      <c r="I267" s="261">
        <v>2</v>
      </c>
      <c r="M267" s="260" cm="1">
        <f t="array" ref="M267:N267">M266:N266</f>
        <v>-18.899999999999999</v>
      </c>
      <c r="N267" s="256">
        <v>2</v>
      </c>
      <c r="O267" s="256">
        <f>M267</f>
        <v>-18.899999999999999</v>
      </c>
      <c r="P267" s="256">
        <v>0</v>
      </c>
      <c r="R267" s="256">
        <f>U209</f>
        <v>3.1000000000000014</v>
      </c>
      <c r="S267" s="256">
        <f>X225+Z226</f>
        <v>85.5</v>
      </c>
      <c r="T267" s="408"/>
      <c r="U267" s="256">
        <f t="shared" si="57"/>
        <v>15.100000000000001</v>
      </c>
      <c r="V267" s="256">
        <f t="shared" si="58"/>
        <v>161.44999999999999</v>
      </c>
      <c r="W267" s="256">
        <f t="shared" si="59"/>
        <v>5.1000000000000014</v>
      </c>
      <c r="X267" s="261">
        <f t="shared" si="60"/>
        <v>161.44999999999999</v>
      </c>
      <c r="AB267" s="260">
        <f t="shared" si="45"/>
        <v>-1.5177859685060504</v>
      </c>
      <c r="AC267" s="256">
        <f t="shared" si="46"/>
        <v>3687.9247965760487</v>
      </c>
      <c r="AD267" s="256">
        <f t="shared" si="47"/>
        <v>-11.493375639922318</v>
      </c>
      <c r="AE267" s="261">
        <f t="shared" si="48"/>
        <v>3687.2265052990497</v>
      </c>
      <c r="AG267" s="260">
        <f t="shared" si="49"/>
        <v>2998.4822140314941</v>
      </c>
      <c r="AH267" s="256">
        <f t="shared" si="50"/>
        <v>3897.9247965760478</v>
      </c>
      <c r="AI267" s="256">
        <f t="shared" si="51"/>
        <v>2988.5066243600777</v>
      </c>
      <c r="AJ267" s="261">
        <f t="shared" si="52"/>
        <v>3897.2265052990488</v>
      </c>
    </row>
    <row r="268" spans="3:36" x14ac:dyDescent="0.25">
      <c r="C268" s="399"/>
      <c r="D268" s="256">
        <v>0</v>
      </c>
      <c r="E268" s="256">
        <v>0</v>
      </c>
      <c r="F268" s="256">
        <v>0</v>
      </c>
      <c r="G268" s="256">
        <v>0</v>
      </c>
      <c r="H268" s="256" t="s">
        <v>11</v>
      </c>
      <c r="I268" s="261">
        <v>1</v>
      </c>
      <c r="M268" s="260" cm="1">
        <f t="array" ref="M268:N268">O266:P266</f>
        <v>18.899999999999999</v>
      </c>
      <c r="N268" s="256">
        <v>2</v>
      </c>
      <c r="O268" s="256">
        <f>M268</f>
        <v>18.899999999999999</v>
      </c>
      <c r="P268" s="256">
        <v>0</v>
      </c>
      <c r="R268" s="256">
        <f>R267</f>
        <v>3.1000000000000014</v>
      </c>
      <c r="S268" s="256">
        <f>X225-Z226</f>
        <v>154.5</v>
      </c>
      <c r="T268" s="408"/>
      <c r="U268" s="256">
        <f t="shared" si="57"/>
        <v>15.100000000000001</v>
      </c>
      <c r="V268" s="256">
        <f t="shared" si="58"/>
        <v>147.55000000000001</v>
      </c>
      <c r="W268" s="256">
        <f t="shared" si="59"/>
        <v>5.1000000000000014</v>
      </c>
      <c r="X268" s="261">
        <f t="shared" si="60"/>
        <v>147.55000000000001</v>
      </c>
      <c r="AB268" s="260">
        <f t="shared" ref="AB268:AB298" si="61">$Z$203+U268*COS($Z$205)-V268*SIN($Z$205)</f>
        <v>-0.54716109347724995</v>
      </c>
      <c r="AC268" s="256">
        <f t="shared" ref="AC268:AC298" si="62">$AA$203+U268*SIN($Z$205)+V268*COS($Z$205)</f>
        <v>3674.0587269327802</v>
      </c>
      <c r="AD268" s="256">
        <f t="shared" ref="AD268:AD289" si="63">$Z$203+W268*COS($Z$205)-X268*SIN($Z$205)</f>
        <v>-10.522750764893518</v>
      </c>
      <c r="AE268" s="261">
        <f t="shared" ref="AE268:AE289" si="64">$AA$203+W268*SIN($Z$205)+X268*COS($Z$205)</f>
        <v>3673.3604356557812</v>
      </c>
      <c r="AG268" s="260">
        <f t="shared" ref="AG268:AG298" si="65">$Z$204+U268*COS($Z$205)-V268*SIN($Z$205)</f>
        <v>2999.4528389065231</v>
      </c>
      <c r="AH268" s="256">
        <f t="shared" ref="AH268:AH298" si="66">$AA$204+U268*SIN($Z$205)+V268*COS($Z$205)</f>
        <v>3884.0587269327793</v>
      </c>
      <c r="AI268" s="256">
        <f t="shared" ref="AI268:AI289" si="67">$Z$204+W268*COS($Z$205)-X268*SIN($Z$205)</f>
        <v>2989.4772492351067</v>
      </c>
      <c r="AJ268" s="261">
        <f t="shared" ref="AJ268:AJ289" si="68">$AA$204+W268*SIN($Z$205)+X268*COS($Z$205)</f>
        <v>3883.3604356557803</v>
      </c>
    </row>
    <row r="269" spans="3:36" x14ac:dyDescent="0.25">
      <c r="C269" s="399"/>
      <c r="D269" s="256">
        <v>0</v>
      </c>
      <c r="E269" s="256">
        <v>0</v>
      </c>
      <c r="F269" s="256">
        <v>0</v>
      </c>
      <c r="G269" s="256">
        <v>0</v>
      </c>
      <c r="H269" s="256" t="s">
        <v>11</v>
      </c>
      <c r="I269" s="261">
        <v>1</v>
      </c>
      <c r="M269" s="260" cm="1">
        <f t="array" ref="M269:N269">O267:P267</f>
        <v>-18.899999999999999</v>
      </c>
      <c r="N269" s="256">
        <v>0</v>
      </c>
      <c r="O269" s="256" cm="1">
        <f t="array" ref="O269:P269">O268:P268</f>
        <v>18.899999999999999</v>
      </c>
      <c r="P269" s="256">
        <v>0</v>
      </c>
      <c r="T269" s="408"/>
      <c r="U269" s="256">
        <f t="shared" si="57"/>
        <v>3.100000000000001</v>
      </c>
      <c r="V269" s="256">
        <f t="shared" si="58"/>
        <v>162.5</v>
      </c>
      <c r="W269" s="256">
        <f t="shared" si="59"/>
        <v>-13.099999999999998</v>
      </c>
      <c r="X269" s="261">
        <f t="shared" si="60"/>
        <v>162.5</v>
      </c>
      <c r="AB269" s="260">
        <f t="shared" si="61"/>
        <v>-13.561814158290483</v>
      </c>
      <c r="AC269" s="256">
        <f t="shared" si="62"/>
        <v>3688.1342839591489</v>
      </c>
      <c r="AD269" s="256">
        <f t="shared" si="63"/>
        <v>-29.722269425984834</v>
      </c>
      <c r="AE269" s="261">
        <f t="shared" si="64"/>
        <v>3687.0030520904102</v>
      </c>
      <c r="AG269" s="260">
        <f t="shared" si="65"/>
        <v>2986.43818584171</v>
      </c>
      <c r="AH269" s="256">
        <f t="shared" si="66"/>
        <v>3898.134283959148</v>
      </c>
      <c r="AI269" s="256">
        <f t="shared" si="67"/>
        <v>2970.2777305740155</v>
      </c>
      <c r="AJ269" s="261">
        <f t="shared" si="68"/>
        <v>3897.0030520904093</v>
      </c>
    </row>
    <row r="270" spans="3:36" ht="15.75" thickBot="1" x14ac:dyDescent="0.3">
      <c r="C270" s="400"/>
      <c r="D270" s="264">
        <v>0</v>
      </c>
      <c r="E270" s="264">
        <v>0</v>
      </c>
      <c r="F270" s="264">
        <v>0</v>
      </c>
      <c r="G270" s="264">
        <v>0</v>
      </c>
      <c r="H270" s="264" t="s">
        <v>8</v>
      </c>
      <c r="I270" s="265">
        <v>1.5</v>
      </c>
      <c r="M270" s="260">
        <f>-6.95</f>
        <v>-6.95</v>
      </c>
      <c r="N270" s="256">
        <f>N261</f>
        <v>12</v>
      </c>
      <c r="O270" s="256">
        <f>M270</f>
        <v>-6.95</v>
      </c>
      <c r="P270" s="256">
        <f>P265</f>
        <v>2</v>
      </c>
      <c r="T270" s="408"/>
      <c r="U270" s="256">
        <f t="shared" si="57"/>
        <v>3.1000000000000019</v>
      </c>
      <c r="V270" s="256">
        <f t="shared" si="58"/>
        <v>146.5</v>
      </c>
      <c r="W270" s="256">
        <f t="shared" si="59"/>
        <v>-13.099999999999998</v>
      </c>
      <c r="X270" s="261">
        <f t="shared" si="60"/>
        <v>146.5</v>
      </c>
      <c r="AB270" s="260">
        <f t="shared" si="61"/>
        <v>-12.444548115091861</v>
      </c>
      <c r="AC270" s="256">
        <f t="shared" si="62"/>
        <v>3672.1733404848828</v>
      </c>
      <c r="AD270" s="256">
        <f t="shared" si="63"/>
        <v>-28.605003382786212</v>
      </c>
      <c r="AE270" s="261">
        <f t="shared" si="64"/>
        <v>3671.0421086161441</v>
      </c>
      <c r="AG270" s="260">
        <f t="shared" si="65"/>
        <v>2987.5554518849085</v>
      </c>
      <c r="AH270" s="256">
        <f t="shared" si="66"/>
        <v>3882.1733404848819</v>
      </c>
      <c r="AI270" s="256">
        <f t="shared" si="67"/>
        <v>2971.394996617214</v>
      </c>
      <c r="AJ270" s="261">
        <f t="shared" si="68"/>
        <v>3881.0421086161432</v>
      </c>
    </row>
    <row r="271" spans="3:36" x14ac:dyDescent="0.25">
      <c r="C271" s="402" t="s">
        <v>331</v>
      </c>
      <c r="D271" s="258">
        <f>D48</f>
        <v>150</v>
      </c>
      <c r="E271" s="258">
        <f>E69</f>
        <v>1424</v>
      </c>
      <c r="F271" s="258" cm="1">
        <f t="array" ref="F271:G271">D69:E69</f>
        <v>170</v>
      </c>
      <c r="G271" s="258">
        <v>1424</v>
      </c>
      <c r="H271" s="258" t="s">
        <v>14</v>
      </c>
      <c r="I271" s="259">
        <v>1</v>
      </c>
      <c r="M271" s="260">
        <f>-M270</f>
        <v>6.95</v>
      </c>
      <c r="N271" s="256">
        <f>N270</f>
        <v>12</v>
      </c>
      <c r="O271" s="256">
        <f>M271</f>
        <v>6.95</v>
      </c>
      <c r="P271" s="256">
        <f>P270</f>
        <v>2</v>
      </c>
      <c r="T271" s="408"/>
      <c r="U271" s="256">
        <f t="shared" si="57"/>
        <v>-13.1</v>
      </c>
      <c r="V271" s="256">
        <f t="shared" si="58"/>
        <v>173.4</v>
      </c>
      <c r="W271" s="256">
        <f t="shared" si="59"/>
        <v>-13.099999999999996</v>
      </c>
      <c r="X271" s="261">
        <f t="shared" si="60"/>
        <v>135.6</v>
      </c>
      <c r="AB271" s="260">
        <f t="shared" si="61"/>
        <v>-30.4834069179139</v>
      </c>
      <c r="AC271" s="256">
        <f t="shared" si="62"/>
        <v>3697.8764448322536</v>
      </c>
      <c r="AD271" s="256">
        <f t="shared" si="63"/>
        <v>-27.843865890857153</v>
      </c>
      <c r="AE271" s="261">
        <f t="shared" si="64"/>
        <v>3660.1687158743002</v>
      </c>
      <c r="AG271" s="260">
        <f t="shared" si="65"/>
        <v>2969.5165930820867</v>
      </c>
      <c r="AH271" s="256">
        <f t="shared" si="66"/>
        <v>3907.8764448322527</v>
      </c>
      <c r="AI271" s="256">
        <f t="shared" si="67"/>
        <v>2972.1561341091433</v>
      </c>
      <c r="AJ271" s="261">
        <f t="shared" si="68"/>
        <v>3870.1687158742993</v>
      </c>
    </row>
    <row r="272" spans="3:36" x14ac:dyDescent="0.25">
      <c r="C272" s="403"/>
      <c r="D272" s="256">
        <f>D271</f>
        <v>150</v>
      </c>
      <c r="E272" s="256">
        <f>E271-Parametry!G43</f>
        <v>1334</v>
      </c>
      <c r="F272" s="256">
        <f>D272+Parametry!H43-Parametry!J43</f>
        <v>154</v>
      </c>
      <c r="G272" s="256">
        <f>E272</f>
        <v>1334</v>
      </c>
      <c r="H272" s="256" t="s">
        <v>14</v>
      </c>
      <c r="I272" s="261">
        <v>1</v>
      </c>
      <c r="M272" s="260">
        <v>-8</v>
      </c>
      <c r="N272" s="256">
        <v>0</v>
      </c>
      <c r="O272" s="256">
        <f>M272</f>
        <v>-8</v>
      </c>
      <c r="P272" s="256">
        <f>N272-S262</f>
        <v>-16.2</v>
      </c>
      <c r="Q272" s="256" t="s">
        <v>365</v>
      </c>
      <c r="T272" s="408"/>
      <c r="U272" s="256">
        <f t="shared" si="57"/>
        <v>-13.1</v>
      </c>
      <c r="V272" s="256">
        <f t="shared" si="58"/>
        <v>173.4</v>
      </c>
      <c r="W272" s="256">
        <f t="shared" si="59"/>
        <v>-15.1</v>
      </c>
      <c r="X272" s="261">
        <f t="shared" si="60"/>
        <v>173.4</v>
      </c>
      <c r="AB272" s="260">
        <f t="shared" si="61"/>
        <v>-30.4834069179139</v>
      </c>
      <c r="AC272" s="256">
        <f t="shared" si="62"/>
        <v>3697.8764448322536</v>
      </c>
      <c r="AD272" s="256">
        <f t="shared" si="63"/>
        <v>-32.478524852197154</v>
      </c>
      <c r="AE272" s="261">
        <f t="shared" si="64"/>
        <v>3697.7367865768538</v>
      </c>
      <c r="AG272" s="260">
        <f t="shared" si="65"/>
        <v>2969.5165930820867</v>
      </c>
      <c r="AH272" s="256">
        <f t="shared" si="66"/>
        <v>3907.8764448322527</v>
      </c>
      <c r="AI272" s="256">
        <f t="shared" si="67"/>
        <v>2967.5214751478034</v>
      </c>
      <c r="AJ272" s="261">
        <f t="shared" si="68"/>
        <v>3907.7367865768529</v>
      </c>
    </row>
    <row r="273" spans="3:36" x14ac:dyDescent="0.25">
      <c r="C273" s="403"/>
      <c r="D273" s="256">
        <f>D272+Parametry!H43</f>
        <v>160</v>
      </c>
      <c r="E273" s="256">
        <f>G272+Parametry!J43</f>
        <v>1340</v>
      </c>
      <c r="F273" s="256">
        <f>D273</f>
        <v>160</v>
      </c>
      <c r="G273" s="256">
        <f>E271-Parametry!H43-Parametry!I43</f>
        <v>1402</v>
      </c>
      <c r="H273" s="256" t="s">
        <v>14</v>
      </c>
      <c r="I273" s="261">
        <v>1</v>
      </c>
      <c r="M273" s="260">
        <f>-M272</f>
        <v>8</v>
      </c>
      <c r="N273" s="256">
        <v>0</v>
      </c>
      <c r="O273" s="256">
        <f>M273</f>
        <v>8</v>
      </c>
      <c r="P273" s="256">
        <f>P272</f>
        <v>-16.2</v>
      </c>
      <c r="Q273" s="256" t="s">
        <v>365</v>
      </c>
      <c r="T273" s="408"/>
      <c r="U273" s="256">
        <f t="shared" si="57"/>
        <v>-13.099999999999996</v>
      </c>
      <c r="V273" s="256">
        <f t="shared" si="58"/>
        <v>135.6</v>
      </c>
      <c r="W273" s="256">
        <f t="shared" si="59"/>
        <v>-15.099999999999996</v>
      </c>
      <c r="X273" s="261">
        <f t="shared" si="60"/>
        <v>135.6</v>
      </c>
      <c r="AB273" s="260">
        <f t="shared" si="61"/>
        <v>-27.843865890857153</v>
      </c>
      <c r="AC273" s="256">
        <f t="shared" si="62"/>
        <v>3660.1687158743002</v>
      </c>
      <c r="AD273" s="256">
        <f t="shared" si="63"/>
        <v>-29.838983825140403</v>
      </c>
      <c r="AE273" s="261">
        <f t="shared" si="64"/>
        <v>3660.0290576189004</v>
      </c>
      <c r="AG273" s="260">
        <f t="shared" si="65"/>
        <v>2972.1561341091433</v>
      </c>
      <c r="AH273" s="256">
        <f t="shared" si="66"/>
        <v>3870.1687158742993</v>
      </c>
      <c r="AI273" s="256">
        <f t="shared" si="67"/>
        <v>2970.1610161748599</v>
      </c>
      <c r="AJ273" s="261">
        <f t="shared" si="68"/>
        <v>3870.0290576188995</v>
      </c>
    </row>
    <row r="274" spans="3:36" x14ac:dyDescent="0.25">
      <c r="C274" s="403"/>
      <c r="D274" s="256">
        <f>D273+Parametry!I43</f>
        <v>172</v>
      </c>
      <c r="E274" s="256">
        <f>G273+Parametry!I43</f>
        <v>1414</v>
      </c>
      <c r="F274" s="256">
        <f>D271+Parametry!F43-Parametry!J43</f>
        <v>294</v>
      </c>
      <c r="G274" s="256">
        <f>E274</f>
        <v>1414</v>
      </c>
      <c r="H274" s="256" t="s">
        <v>14</v>
      </c>
      <c r="I274" s="261">
        <v>1</v>
      </c>
      <c r="M274" s="260">
        <f>M269</f>
        <v>-18.899999999999999</v>
      </c>
      <c r="N274" s="256">
        <f>P273</f>
        <v>-16.2</v>
      </c>
      <c r="O274" s="256">
        <f>-M274</f>
        <v>18.899999999999999</v>
      </c>
      <c r="P274" s="256">
        <f>N274</f>
        <v>-16.2</v>
      </c>
      <c r="T274" s="408"/>
      <c r="U274" s="256">
        <f t="shared" si="57"/>
        <v>-15.1</v>
      </c>
      <c r="V274" s="256">
        <f t="shared" si="58"/>
        <v>173.4</v>
      </c>
      <c r="W274" s="256">
        <f t="shared" si="59"/>
        <v>-15.099999999999996</v>
      </c>
      <c r="X274" s="261">
        <f t="shared" si="60"/>
        <v>135.6</v>
      </c>
      <c r="AB274" s="260">
        <f t="shared" si="61"/>
        <v>-32.478524852197154</v>
      </c>
      <c r="AC274" s="256">
        <f t="shared" si="62"/>
        <v>3697.7367865768538</v>
      </c>
      <c r="AD274" s="256">
        <f t="shared" si="63"/>
        <v>-29.838983825140403</v>
      </c>
      <c r="AE274" s="261">
        <f t="shared" si="64"/>
        <v>3660.0290576189004</v>
      </c>
      <c r="AG274" s="260">
        <f t="shared" si="65"/>
        <v>2967.5214751478034</v>
      </c>
      <c r="AH274" s="256">
        <f t="shared" si="66"/>
        <v>3907.7367865768529</v>
      </c>
      <c r="AI274" s="256">
        <f t="shared" si="67"/>
        <v>2970.1610161748599</v>
      </c>
      <c r="AJ274" s="261">
        <f t="shared" si="68"/>
        <v>3870.0290576188995</v>
      </c>
    </row>
    <row r="275" spans="3:36" ht="15.75" thickBot="1" x14ac:dyDescent="0.3">
      <c r="C275" s="404"/>
      <c r="D275" s="264">
        <f>D271+Parametry!F43</f>
        <v>300</v>
      </c>
      <c r="E275" s="264">
        <f>G274+Parametry!J43</f>
        <v>1420</v>
      </c>
      <c r="F275" s="264">
        <f>D275</f>
        <v>300</v>
      </c>
      <c r="G275" s="264">
        <f>E271</f>
        <v>1424</v>
      </c>
      <c r="H275" s="264" t="s">
        <v>14</v>
      </c>
      <c r="I275" s="265">
        <v>1</v>
      </c>
      <c r="M275" s="260">
        <f>M274</f>
        <v>-18.899999999999999</v>
      </c>
      <c r="N275" s="256">
        <f>N274</f>
        <v>-16.2</v>
      </c>
      <c r="O275" s="256">
        <f>M275</f>
        <v>-18.899999999999999</v>
      </c>
      <c r="P275" s="256">
        <f>N275-2</f>
        <v>-18.2</v>
      </c>
      <c r="T275" s="408"/>
      <c r="U275" s="256">
        <f t="shared" si="57"/>
        <v>-15.099999999999998</v>
      </c>
      <c r="V275" s="256">
        <f t="shared" si="58"/>
        <v>166.4</v>
      </c>
      <c r="W275" s="256">
        <f t="shared" si="59"/>
        <v>-17.099999999999998</v>
      </c>
      <c r="X275" s="261">
        <f t="shared" si="60"/>
        <v>168.4</v>
      </c>
      <c r="AB275" s="260">
        <f t="shared" si="61"/>
        <v>-31.989720958297752</v>
      </c>
      <c r="AC275" s="256">
        <f t="shared" si="62"/>
        <v>3690.7538738068624</v>
      </c>
      <c r="AD275" s="256">
        <f t="shared" si="63"/>
        <v>-34.124497147980833</v>
      </c>
      <c r="AE275" s="261">
        <f t="shared" si="64"/>
        <v>3692.609333485746</v>
      </c>
      <c r="AG275" s="260">
        <f t="shared" si="65"/>
        <v>2968.0102790417027</v>
      </c>
      <c r="AH275" s="256">
        <f t="shared" si="66"/>
        <v>3900.7538738068615</v>
      </c>
      <c r="AI275" s="256">
        <f t="shared" si="67"/>
        <v>2965.8755028520195</v>
      </c>
      <c r="AJ275" s="261">
        <f t="shared" si="68"/>
        <v>3902.6093334857451</v>
      </c>
    </row>
    <row r="276" spans="3:36" x14ac:dyDescent="0.25">
      <c r="C276" s="402" t="s">
        <v>358</v>
      </c>
      <c r="D276" s="258" cm="1">
        <f t="array" ref="D276:E276">W183:X183</f>
        <v>1095</v>
      </c>
      <c r="E276" s="258">
        <v>3026.6</v>
      </c>
      <c r="F276" s="258" cm="1">
        <f t="array" ref="F276:G276">W184:X184</f>
        <v>1905</v>
      </c>
      <c r="G276" s="258">
        <v>3083.3</v>
      </c>
      <c r="H276" s="258" t="s">
        <v>8</v>
      </c>
      <c r="I276" s="259">
        <v>3</v>
      </c>
      <c r="M276" s="260" cm="1">
        <f t="array" ref="M276:N276">O274:P274</f>
        <v>18.899999999999999</v>
      </c>
      <c r="N276" s="256">
        <v>-16.2</v>
      </c>
      <c r="O276" s="256">
        <f>M276</f>
        <v>18.899999999999999</v>
      </c>
      <c r="P276" s="256">
        <f>P275</f>
        <v>-18.2</v>
      </c>
      <c r="T276" s="408"/>
      <c r="U276" s="256">
        <f t="shared" si="57"/>
        <v>-15.099999999999998</v>
      </c>
      <c r="V276" s="256">
        <f t="shared" si="58"/>
        <v>142.6</v>
      </c>
      <c r="W276" s="256">
        <f t="shared" si="59"/>
        <v>-17.099999999999998</v>
      </c>
      <c r="X276" s="261">
        <f t="shared" si="60"/>
        <v>140.6</v>
      </c>
      <c r="AB276" s="260">
        <f t="shared" si="61"/>
        <v>-30.327787719039801</v>
      </c>
      <c r="AC276" s="256">
        <f t="shared" si="62"/>
        <v>3667.0119703888918</v>
      </c>
      <c r="AD276" s="256">
        <f t="shared" si="63"/>
        <v>-32.183247397923225</v>
      </c>
      <c r="AE276" s="261">
        <f t="shared" si="64"/>
        <v>3664.8771941992086</v>
      </c>
      <c r="AG276" s="260">
        <f t="shared" si="65"/>
        <v>2969.6722122809606</v>
      </c>
      <c r="AH276" s="256">
        <f t="shared" si="66"/>
        <v>3877.0119703888909</v>
      </c>
      <c r="AI276" s="256">
        <f t="shared" si="67"/>
        <v>2967.816752602077</v>
      </c>
      <c r="AJ276" s="261">
        <f t="shared" si="68"/>
        <v>3874.8771941992077</v>
      </c>
    </row>
    <row r="277" spans="3:36" x14ac:dyDescent="0.25">
      <c r="C277" s="403"/>
      <c r="D277" s="256" cm="1">
        <f t="array" ref="D277:E277">_xlfn.ANCHORARRAY(F276)</f>
        <v>1905</v>
      </c>
      <c r="E277" s="256">
        <v>3083.3</v>
      </c>
      <c r="F277" s="256" cm="1">
        <f t="array" ref="F277:G277">W185:X185</f>
        <v>1500</v>
      </c>
      <c r="G277" s="256">
        <v>2500.1</v>
      </c>
      <c r="H277" s="256" t="s">
        <v>8</v>
      </c>
      <c r="I277" s="261">
        <v>3</v>
      </c>
      <c r="M277" s="260" cm="1">
        <f t="array" ref="M277:N277">O275:P275</f>
        <v>-18.899999999999999</v>
      </c>
      <c r="N277" s="256">
        <v>-18.2</v>
      </c>
      <c r="O277" s="256" cm="1">
        <f t="array" ref="O277:P277">O276:P276</f>
        <v>18.899999999999999</v>
      </c>
      <c r="P277" s="256">
        <v>-18.2</v>
      </c>
      <c r="T277" s="408"/>
      <c r="U277" s="256">
        <f t="shared" si="57"/>
        <v>-17.099999999999998</v>
      </c>
      <c r="V277" s="256">
        <f t="shared" si="58"/>
        <v>140.6</v>
      </c>
      <c r="W277" s="256">
        <f t="shared" si="59"/>
        <v>-26.099999999999998</v>
      </c>
      <c r="X277" s="261">
        <f t="shared" si="60"/>
        <v>140.6</v>
      </c>
      <c r="AB277" s="260">
        <f t="shared" si="61"/>
        <v>-32.183247397923225</v>
      </c>
      <c r="AC277" s="256">
        <f t="shared" si="62"/>
        <v>3664.8771941992086</v>
      </c>
      <c r="AD277" s="256">
        <f t="shared" si="63"/>
        <v>-41.161278102197869</v>
      </c>
      <c r="AE277" s="261">
        <f t="shared" si="64"/>
        <v>3664.2487320499094</v>
      </c>
      <c r="AG277" s="260">
        <f t="shared" si="65"/>
        <v>2967.816752602077</v>
      </c>
      <c r="AH277" s="256">
        <f t="shared" si="66"/>
        <v>3874.8771941992077</v>
      </c>
      <c r="AI277" s="256">
        <f t="shared" si="67"/>
        <v>2958.8387218978023</v>
      </c>
      <c r="AJ277" s="261">
        <f t="shared" si="68"/>
        <v>3874.2487320499085</v>
      </c>
    </row>
    <row r="278" spans="3:36" ht="15.75" thickBot="1" x14ac:dyDescent="0.3">
      <c r="C278" s="404"/>
      <c r="D278" s="264" cm="1">
        <f t="array" ref="D278:E278">_xlfn.ANCHORARRAY(F277)</f>
        <v>1500</v>
      </c>
      <c r="E278" s="264">
        <v>2500.1</v>
      </c>
      <c r="F278" s="264" cm="1">
        <f t="array" ref="F278:G278">_xlfn.ANCHORARRAY(D276)</f>
        <v>1095</v>
      </c>
      <c r="G278" s="264">
        <v>3026.6</v>
      </c>
      <c r="H278" s="264" t="s">
        <v>8</v>
      </c>
      <c r="I278" s="265">
        <v>3</v>
      </c>
      <c r="M278" s="260">
        <f>M277+7</f>
        <v>-11.899999999999999</v>
      </c>
      <c r="N278" s="256">
        <f>N277</f>
        <v>-18.2</v>
      </c>
      <c r="O278" s="256">
        <f>M278-2</f>
        <v>-13.899999999999999</v>
      </c>
      <c r="P278" s="256">
        <f>N278-2</f>
        <v>-20.2</v>
      </c>
      <c r="T278" s="408"/>
      <c r="U278" s="256">
        <f t="shared" si="57"/>
        <v>-17.099999999999998</v>
      </c>
      <c r="V278" s="256">
        <f t="shared" si="58"/>
        <v>168.4</v>
      </c>
      <c r="W278" s="256">
        <f t="shared" si="59"/>
        <v>-26.099999999999998</v>
      </c>
      <c r="X278" s="261">
        <f t="shared" si="60"/>
        <v>168.4</v>
      </c>
      <c r="AB278" s="260">
        <f t="shared" si="61"/>
        <v>-34.124497147980833</v>
      </c>
      <c r="AC278" s="256">
        <f t="shared" si="62"/>
        <v>3692.609333485746</v>
      </c>
      <c r="AD278" s="256">
        <f t="shared" si="63"/>
        <v>-43.102527852255477</v>
      </c>
      <c r="AE278" s="261">
        <f t="shared" si="64"/>
        <v>3691.9808713364469</v>
      </c>
      <c r="AG278" s="260">
        <f t="shared" si="65"/>
        <v>2965.8755028520195</v>
      </c>
      <c r="AH278" s="256">
        <f t="shared" si="66"/>
        <v>3902.6093334857451</v>
      </c>
      <c r="AI278" s="256">
        <f t="shared" si="67"/>
        <v>2956.8974721477448</v>
      </c>
      <c r="AJ278" s="261">
        <f t="shared" si="68"/>
        <v>3901.9808713364459</v>
      </c>
    </row>
    <row r="279" spans="3:36" x14ac:dyDescent="0.25">
      <c r="C279" s="402" t="s">
        <v>359</v>
      </c>
      <c r="D279" s="258" cm="1">
        <f t="array" ref="D279:E279">W196:X196</f>
        <v>364.99999999999994</v>
      </c>
      <c r="E279" s="258">
        <v>2501</v>
      </c>
      <c r="F279" s="258" cm="1">
        <f t="array" ref="F279:G279">W197:X197</f>
        <v>770</v>
      </c>
      <c r="G279" s="258">
        <v>1974.5</v>
      </c>
      <c r="H279" s="258" t="s">
        <v>8</v>
      </c>
      <c r="I279" s="259">
        <v>3</v>
      </c>
      <c r="M279" s="260">
        <f>-M278</f>
        <v>11.899999999999999</v>
      </c>
      <c r="N279" s="256">
        <f>N278</f>
        <v>-18.2</v>
      </c>
      <c r="O279" s="256">
        <f>-O278</f>
        <v>13.899999999999999</v>
      </c>
      <c r="P279" s="256">
        <f>P278</f>
        <v>-20.2</v>
      </c>
      <c r="T279" s="408"/>
      <c r="U279" s="256">
        <f t="shared" si="57"/>
        <v>-26.099999999999998</v>
      </c>
      <c r="V279" s="256">
        <f t="shared" si="58"/>
        <v>168.4</v>
      </c>
      <c r="W279" s="256">
        <f t="shared" si="59"/>
        <v>-28.099999999999998</v>
      </c>
      <c r="X279" s="261">
        <f t="shared" si="60"/>
        <v>166.4</v>
      </c>
      <c r="AB279" s="260">
        <f t="shared" si="61"/>
        <v>-43.102527852255477</v>
      </c>
      <c r="AC279" s="256">
        <f t="shared" si="62"/>
        <v>3691.9808713364469</v>
      </c>
      <c r="AD279" s="256">
        <f t="shared" si="63"/>
        <v>-44.957987531138897</v>
      </c>
      <c r="AE279" s="261">
        <f t="shared" si="64"/>
        <v>3689.8460951467637</v>
      </c>
      <c r="AG279" s="260">
        <f t="shared" si="65"/>
        <v>2956.8974721477448</v>
      </c>
      <c r="AH279" s="256">
        <f t="shared" si="66"/>
        <v>3901.9808713364459</v>
      </c>
      <c r="AI279" s="256">
        <f t="shared" si="67"/>
        <v>2955.0420124688617</v>
      </c>
      <c r="AJ279" s="261">
        <f t="shared" si="68"/>
        <v>3899.8460951467628</v>
      </c>
    </row>
    <row r="280" spans="3:36" x14ac:dyDescent="0.25">
      <c r="C280" s="403"/>
      <c r="D280" s="256" cm="1">
        <f t="array" ref="D280:E280">_xlfn.ANCHORARRAY(F279)</f>
        <v>770</v>
      </c>
      <c r="E280" s="256">
        <v>1974.5</v>
      </c>
      <c r="F280" s="256" cm="1">
        <f t="array" ref="F280:G280">W198:X198</f>
        <v>364.99999999999994</v>
      </c>
      <c r="G280" s="256">
        <v>1974.5</v>
      </c>
      <c r="H280" s="256" t="s">
        <v>8</v>
      </c>
      <c r="I280" s="261">
        <v>3</v>
      </c>
      <c r="M280" s="260">
        <f>O279</f>
        <v>13.899999999999999</v>
      </c>
      <c r="N280" s="256">
        <f>P279</f>
        <v>-20.2</v>
      </c>
      <c r="O280" s="256">
        <f>M280</f>
        <v>13.899999999999999</v>
      </c>
      <c r="P280" s="256">
        <f>N280-9</f>
        <v>-29.2</v>
      </c>
      <c r="T280" s="408"/>
      <c r="U280" s="256">
        <f t="shared" si="57"/>
        <v>-26.099999999999998</v>
      </c>
      <c r="V280" s="256">
        <f t="shared" si="58"/>
        <v>140.6</v>
      </c>
      <c r="W280" s="256">
        <f t="shared" si="59"/>
        <v>-28.099999999999998</v>
      </c>
      <c r="X280" s="261">
        <f t="shared" si="60"/>
        <v>142.6</v>
      </c>
      <c r="AB280" s="260">
        <f t="shared" si="61"/>
        <v>-41.161278102197869</v>
      </c>
      <c r="AC280" s="256">
        <f t="shared" si="62"/>
        <v>3664.2487320499094</v>
      </c>
      <c r="AD280" s="256">
        <f t="shared" si="63"/>
        <v>-43.296054291880949</v>
      </c>
      <c r="AE280" s="261">
        <f t="shared" si="64"/>
        <v>3666.104191728793</v>
      </c>
      <c r="AG280" s="260">
        <f t="shared" si="65"/>
        <v>2958.8387218978023</v>
      </c>
      <c r="AH280" s="256">
        <f t="shared" si="66"/>
        <v>3874.2487320499085</v>
      </c>
      <c r="AI280" s="256">
        <f t="shared" si="67"/>
        <v>2956.7039457081196</v>
      </c>
      <c r="AJ280" s="261">
        <f t="shared" si="68"/>
        <v>3876.1041917287921</v>
      </c>
    </row>
    <row r="281" spans="3:36" ht="15.75" thickBot="1" x14ac:dyDescent="0.3">
      <c r="C281" s="404"/>
      <c r="D281" s="264" cm="1">
        <f t="array" ref="D281:E281">_xlfn.ANCHORARRAY(F280)</f>
        <v>364.99999999999994</v>
      </c>
      <c r="E281" s="264">
        <v>1974.5</v>
      </c>
      <c r="F281" s="264" cm="1">
        <f t="array" ref="F281:G281">_xlfn.ANCHORARRAY(D279)</f>
        <v>364.99999999999994</v>
      </c>
      <c r="G281" s="264">
        <v>2501</v>
      </c>
      <c r="H281" s="264" t="s">
        <v>8</v>
      </c>
      <c r="I281" s="265">
        <v>3</v>
      </c>
      <c r="M281" s="260">
        <f>-M280</f>
        <v>-13.899999999999999</v>
      </c>
      <c r="N281" s="256">
        <f>N280</f>
        <v>-20.2</v>
      </c>
      <c r="O281" s="256">
        <f>M281</f>
        <v>-13.899999999999999</v>
      </c>
      <c r="P281" s="256">
        <f>P280</f>
        <v>-29.2</v>
      </c>
      <c r="T281" s="408"/>
      <c r="U281" s="256">
        <f t="shared" si="57"/>
        <v>-28.099999999999998</v>
      </c>
      <c r="V281" s="256">
        <f t="shared" si="58"/>
        <v>166.4</v>
      </c>
      <c r="W281" s="256">
        <f t="shared" si="59"/>
        <v>-28.099999999999998</v>
      </c>
      <c r="X281" s="261">
        <f t="shared" si="60"/>
        <v>142.6</v>
      </c>
      <c r="AB281" s="260">
        <f t="shared" si="61"/>
        <v>-44.957987531138897</v>
      </c>
      <c r="AC281" s="256">
        <f t="shared" si="62"/>
        <v>3689.8460951467637</v>
      </c>
      <c r="AD281" s="256">
        <f t="shared" si="63"/>
        <v>-43.296054291880949</v>
      </c>
      <c r="AE281" s="261">
        <f t="shared" si="64"/>
        <v>3666.104191728793</v>
      </c>
      <c r="AG281" s="260">
        <f t="shared" si="65"/>
        <v>2955.0420124688617</v>
      </c>
      <c r="AH281" s="256">
        <f t="shared" si="66"/>
        <v>3899.8460951467628</v>
      </c>
      <c r="AI281" s="256">
        <f t="shared" si="67"/>
        <v>2956.7039457081196</v>
      </c>
      <c r="AJ281" s="261">
        <f t="shared" si="68"/>
        <v>3876.1041917287921</v>
      </c>
    </row>
    <row r="282" spans="3:36" x14ac:dyDescent="0.25">
      <c r="C282" s="402" t="s">
        <v>368</v>
      </c>
      <c r="D282" s="258" cm="1">
        <f t="array" ref="D282:D313">R196+M190:M221</f>
        <v>198.1</v>
      </c>
      <c r="E282" s="258" cm="1">
        <f t="array" ref="E282:E313">S196+N190:N221</f>
        <v>1445</v>
      </c>
      <c r="F282" s="258" cm="1">
        <f t="array" ref="F282:F313">R196+O190:O221</f>
        <v>221.9</v>
      </c>
      <c r="G282" s="258" cm="1">
        <f t="array" ref="G282:G313">S196+P190:P221</f>
        <v>1445</v>
      </c>
      <c r="H282" s="258" t="s">
        <v>15</v>
      </c>
      <c r="I282" s="259">
        <v>1</v>
      </c>
      <c r="M282" s="260" cm="1">
        <f t="array" ref="M282:N282">O281:P281</f>
        <v>-13.899999999999999</v>
      </c>
      <c r="N282" s="256">
        <v>-29.2</v>
      </c>
      <c r="O282" s="256">
        <f>M282+2</f>
        <v>-11.899999999999999</v>
      </c>
      <c r="P282" s="256">
        <f>N282-2</f>
        <v>-31.2</v>
      </c>
      <c r="T282" s="408"/>
      <c r="U282" s="256">
        <f t="shared" si="57"/>
        <v>-15.099999999999998</v>
      </c>
      <c r="V282" s="256">
        <f t="shared" si="58"/>
        <v>161.44999999999999</v>
      </c>
      <c r="W282" s="256">
        <f t="shared" si="59"/>
        <v>-28.099999999999998</v>
      </c>
      <c r="X282" s="261">
        <f t="shared" si="60"/>
        <v>161.44999999999999</v>
      </c>
      <c r="AB282" s="260">
        <f t="shared" si="61"/>
        <v>-31.644066776183177</v>
      </c>
      <c r="AC282" s="256">
        <f t="shared" si="62"/>
        <v>3685.8159569195113</v>
      </c>
      <c r="AD282" s="256">
        <f t="shared" si="63"/>
        <v>-44.612333349024325</v>
      </c>
      <c r="AE282" s="261">
        <f t="shared" si="64"/>
        <v>3684.9081782594126</v>
      </c>
      <c r="AG282" s="260">
        <f t="shared" si="65"/>
        <v>2968.3559332238169</v>
      </c>
      <c r="AH282" s="256">
        <f t="shared" si="66"/>
        <v>3895.8159569195104</v>
      </c>
      <c r="AI282" s="256">
        <f t="shared" si="67"/>
        <v>2955.3876666509759</v>
      </c>
      <c r="AJ282" s="261">
        <f t="shared" si="68"/>
        <v>3894.9081782594117</v>
      </c>
    </row>
    <row r="283" spans="3:36" x14ac:dyDescent="0.25">
      <c r="C283" s="403"/>
      <c r="D283" s="256">
        <v>221.9</v>
      </c>
      <c r="E283" s="256">
        <v>1445</v>
      </c>
      <c r="F283" s="256">
        <v>223.9</v>
      </c>
      <c r="G283" s="256">
        <v>1443</v>
      </c>
      <c r="H283" s="256" t="s">
        <v>15</v>
      </c>
      <c r="I283" s="261">
        <v>1</v>
      </c>
      <c r="M283" s="260" cm="1">
        <f t="array" ref="M283:N283">O280:P280</f>
        <v>13.899999999999999</v>
      </c>
      <c r="N283" s="256">
        <v>-29.2</v>
      </c>
      <c r="O283" s="256">
        <f>-O282</f>
        <v>11.899999999999999</v>
      </c>
      <c r="P283" s="256">
        <f>P282</f>
        <v>-31.2</v>
      </c>
      <c r="T283" s="408"/>
      <c r="U283" s="256">
        <f t="shared" si="57"/>
        <v>-15.099999999999998</v>
      </c>
      <c r="V283" s="256">
        <f t="shared" si="58"/>
        <v>147.55000000000001</v>
      </c>
      <c r="W283" s="256">
        <f t="shared" si="59"/>
        <v>-28.099999999999998</v>
      </c>
      <c r="X283" s="261">
        <f t="shared" si="60"/>
        <v>147.55000000000001</v>
      </c>
      <c r="AB283" s="260">
        <f t="shared" si="61"/>
        <v>-30.673441901154376</v>
      </c>
      <c r="AC283" s="256">
        <f t="shared" si="62"/>
        <v>3671.9498872762429</v>
      </c>
      <c r="AD283" s="256">
        <f t="shared" si="63"/>
        <v>-43.641708473995521</v>
      </c>
      <c r="AE283" s="261">
        <f t="shared" si="64"/>
        <v>3671.0421086161441</v>
      </c>
      <c r="AG283" s="260">
        <f t="shared" si="65"/>
        <v>2969.3265580988459</v>
      </c>
      <c r="AH283" s="256">
        <f t="shared" si="66"/>
        <v>3881.949887276242</v>
      </c>
      <c r="AI283" s="256">
        <f t="shared" si="67"/>
        <v>2956.3582915260049</v>
      </c>
      <c r="AJ283" s="261">
        <f t="shared" si="68"/>
        <v>3881.0421086161432</v>
      </c>
    </row>
    <row r="284" spans="3:36" x14ac:dyDescent="0.25">
      <c r="C284" s="403"/>
      <c r="D284" s="256">
        <v>198.1</v>
      </c>
      <c r="E284" s="256">
        <v>1445</v>
      </c>
      <c r="F284" s="256">
        <v>196.1</v>
      </c>
      <c r="G284" s="256">
        <v>1443</v>
      </c>
      <c r="H284" s="256" t="s">
        <v>15</v>
      </c>
      <c r="I284" s="261">
        <v>1</v>
      </c>
      <c r="M284" s="260" cm="1">
        <f t="array" ref="M284:N284">O282:P282</f>
        <v>-11.899999999999999</v>
      </c>
      <c r="N284" s="256">
        <v>-31.2</v>
      </c>
      <c r="O284" s="256" cm="1">
        <f t="array" ref="O284:P284">O283:P283</f>
        <v>11.899999999999999</v>
      </c>
      <c r="P284" s="256">
        <v>-31.2</v>
      </c>
      <c r="T284" s="408"/>
      <c r="U284" s="256">
        <f t="shared" si="57"/>
        <v>-28.099999999999998</v>
      </c>
      <c r="V284" s="256">
        <f t="shared" si="58"/>
        <v>162.5</v>
      </c>
      <c r="W284" s="256">
        <f t="shared" si="59"/>
        <v>-32.9</v>
      </c>
      <c r="X284" s="261">
        <f t="shared" si="60"/>
        <v>162.5</v>
      </c>
      <c r="AB284" s="260">
        <f t="shared" si="61"/>
        <v>-44.685653933109236</v>
      </c>
      <c r="AC284" s="256">
        <f t="shared" si="62"/>
        <v>3685.9556151749111</v>
      </c>
      <c r="AD284" s="256">
        <f t="shared" si="63"/>
        <v>-49.473936975389044</v>
      </c>
      <c r="AE284" s="261">
        <f t="shared" si="64"/>
        <v>3685.6204353619514</v>
      </c>
      <c r="AG284" s="260">
        <f t="shared" si="65"/>
        <v>2955.3143460668912</v>
      </c>
      <c r="AH284" s="256">
        <f t="shared" si="66"/>
        <v>3895.9556151749102</v>
      </c>
      <c r="AI284" s="256">
        <f t="shared" si="67"/>
        <v>2950.5260630246112</v>
      </c>
      <c r="AJ284" s="261">
        <f t="shared" si="68"/>
        <v>3895.6204353619505</v>
      </c>
    </row>
    <row r="285" spans="3:36" x14ac:dyDescent="0.25">
      <c r="C285" s="403"/>
      <c r="D285" s="256">
        <v>223.9</v>
      </c>
      <c r="E285" s="256">
        <v>1443</v>
      </c>
      <c r="F285" s="256">
        <v>223.9</v>
      </c>
      <c r="G285" s="256">
        <v>1435</v>
      </c>
      <c r="H285" s="256" t="s">
        <v>15</v>
      </c>
      <c r="I285" s="261">
        <v>1</v>
      </c>
      <c r="M285" s="260">
        <f>M270</f>
        <v>-6.95</v>
      </c>
      <c r="N285" s="256">
        <f>P275</f>
        <v>-18.2</v>
      </c>
      <c r="O285" s="256">
        <f>M285</f>
        <v>-6.95</v>
      </c>
      <c r="P285" s="256">
        <f>P284</f>
        <v>-31.2</v>
      </c>
      <c r="T285" s="408"/>
      <c r="U285" s="256">
        <f t="shared" si="57"/>
        <v>-28.099999999999998</v>
      </c>
      <c r="V285" s="256">
        <f t="shared" si="58"/>
        <v>146.5</v>
      </c>
      <c r="W285" s="256">
        <f t="shared" si="59"/>
        <v>-32.9</v>
      </c>
      <c r="X285" s="261">
        <f t="shared" si="60"/>
        <v>146.5</v>
      </c>
      <c r="AB285" s="260">
        <f t="shared" si="61"/>
        <v>-43.568387889910611</v>
      </c>
      <c r="AC285" s="256">
        <f t="shared" si="62"/>
        <v>3669.9946717006455</v>
      </c>
      <c r="AD285" s="256">
        <f t="shared" si="63"/>
        <v>-48.356670932190426</v>
      </c>
      <c r="AE285" s="261">
        <f t="shared" si="64"/>
        <v>3669.6594918876858</v>
      </c>
      <c r="AG285" s="260">
        <f t="shared" si="65"/>
        <v>2956.4316121100896</v>
      </c>
      <c r="AH285" s="256">
        <f t="shared" si="66"/>
        <v>3879.9946717006446</v>
      </c>
      <c r="AI285" s="256">
        <f t="shared" si="67"/>
        <v>2951.6433290678096</v>
      </c>
      <c r="AJ285" s="261">
        <f t="shared" si="68"/>
        <v>3879.6594918876849</v>
      </c>
    </row>
    <row r="286" spans="3:36" x14ac:dyDescent="0.25">
      <c r="C286" s="403"/>
      <c r="D286" s="256">
        <v>196.1</v>
      </c>
      <c r="E286" s="256">
        <v>1443</v>
      </c>
      <c r="F286" s="256">
        <v>196.1</v>
      </c>
      <c r="G286" s="256">
        <v>1435</v>
      </c>
      <c r="H286" s="256" t="s">
        <v>15</v>
      </c>
      <c r="I286" s="261">
        <v>1</v>
      </c>
      <c r="M286" s="260">
        <f>-M285</f>
        <v>6.95</v>
      </c>
      <c r="N286" s="256">
        <f>N285</f>
        <v>-18.2</v>
      </c>
      <c r="O286" s="256">
        <f>M286</f>
        <v>6.95</v>
      </c>
      <c r="P286" s="256">
        <f>P285</f>
        <v>-31.2</v>
      </c>
      <c r="T286" s="408"/>
      <c r="U286" s="256">
        <f t="shared" si="57"/>
        <v>-32.9</v>
      </c>
      <c r="V286" s="256">
        <f t="shared" si="58"/>
        <v>162.5</v>
      </c>
      <c r="W286" s="256">
        <f t="shared" si="59"/>
        <v>-34.9</v>
      </c>
      <c r="X286" s="261">
        <f t="shared" si="60"/>
        <v>160.5</v>
      </c>
      <c r="AB286" s="260">
        <f t="shared" si="61"/>
        <v>-49.473936975389044</v>
      </c>
      <c r="AC286" s="256">
        <f t="shared" si="62"/>
        <v>3685.6204353619514</v>
      </c>
      <c r="AD286" s="256">
        <f t="shared" si="63"/>
        <v>-51.329396654272465</v>
      </c>
      <c r="AE286" s="261">
        <f t="shared" si="64"/>
        <v>3683.4856591722687</v>
      </c>
      <c r="AG286" s="260">
        <f t="shared" si="65"/>
        <v>2950.5260630246112</v>
      </c>
      <c r="AH286" s="256">
        <f t="shared" si="66"/>
        <v>3895.6204353619505</v>
      </c>
      <c r="AI286" s="256">
        <f t="shared" si="67"/>
        <v>2948.6706033457276</v>
      </c>
      <c r="AJ286" s="261">
        <f t="shared" si="68"/>
        <v>3893.4856591722678</v>
      </c>
    </row>
    <row r="287" spans="3:36" x14ac:dyDescent="0.25">
      <c r="C287" s="403"/>
      <c r="D287" s="256">
        <v>191.1</v>
      </c>
      <c r="E287" s="256">
        <v>1435</v>
      </c>
      <c r="F287" s="256">
        <v>228.9</v>
      </c>
      <c r="G287" s="256">
        <v>1435</v>
      </c>
      <c r="H287" s="256" t="s">
        <v>15</v>
      </c>
      <c r="I287" s="261">
        <v>1</v>
      </c>
      <c r="M287" s="260">
        <f>M272</f>
        <v>-8</v>
      </c>
      <c r="N287" s="256">
        <f>P286</f>
        <v>-31.2</v>
      </c>
      <c r="O287" s="256">
        <f>M287</f>
        <v>-8</v>
      </c>
      <c r="P287" s="256">
        <f>-S261+12+2</f>
        <v>-36</v>
      </c>
      <c r="T287" s="408"/>
      <c r="U287" s="256">
        <f t="shared" si="57"/>
        <v>-32.9</v>
      </c>
      <c r="V287" s="256">
        <f t="shared" si="58"/>
        <v>146.5</v>
      </c>
      <c r="W287" s="256">
        <f t="shared" si="59"/>
        <v>-34.9</v>
      </c>
      <c r="X287" s="261">
        <f t="shared" si="60"/>
        <v>148.5</v>
      </c>
      <c r="AB287" s="260">
        <f t="shared" si="61"/>
        <v>-48.356670932190426</v>
      </c>
      <c r="AC287" s="256">
        <f t="shared" si="62"/>
        <v>3669.6594918876858</v>
      </c>
      <c r="AD287" s="256">
        <f t="shared" si="63"/>
        <v>-50.491447121873499</v>
      </c>
      <c r="AE287" s="261">
        <f t="shared" si="64"/>
        <v>3671.5149515665689</v>
      </c>
      <c r="AG287" s="260">
        <f t="shared" si="65"/>
        <v>2951.6433290678096</v>
      </c>
      <c r="AH287" s="256">
        <f t="shared" si="66"/>
        <v>3879.6594918876849</v>
      </c>
      <c r="AI287" s="256">
        <f t="shared" si="67"/>
        <v>2949.5085528781265</v>
      </c>
      <c r="AJ287" s="261">
        <f t="shared" si="68"/>
        <v>3881.514951566568</v>
      </c>
    </row>
    <row r="288" spans="3:36" x14ac:dyDescent="0.25">
      <c r="C288" s="403"/>
      <c r="D288" s="256">
        <v>191.1</v>
      </c>
      <c r="E288" s="256">
        <v>1435</v>
      </c>
      <c r="F288" s="256">
        <v>191.1</v>
      </c>
      <c r="G288" s="256">
        <v>1433</v>
      </c>
      <c r="H288" s="256" t="s">
        <v>15</v>
      </c>
      <c r="I288" s="261">
        <v>1</v>
      </c>
      <c r="M288" s="260">
        <f>-M287</f>
        <v>8</v>
      </c>
      <c r="N288" s="256">
        <f>N287</f>
        <v>-31.2</v>
      </c>
      <c r="O288" s="256">
        <f>M288</f>
        <v>8</v>
      </c>
      <c r="P288" s="256">
        <f>P287</f>
        <v>-36</v>
      </c>
      <c r="T288" s="408"/>
      <c r="U288" s="256">
        <f t="shared" si="57"/>
        <v>-34.9</v>
      </c>
      <c r="V288" s="256">
        <f t="shared" si="58"/>
        <v>160.5</v>
      </c>
      <c r="W288" s="256">
        <f t="shared" si="59"/>
        <v>-34.9</v>
      </c>
      <c r="X288" s="261">
        <f t="shared" si="60"/>
        <v>148.5</v>
      </c>
      <c r="AB288" s="260">
        <f t="shared" si="61"/>
        <v>-51.329396654272465</v>
      </c>
      <c r="AC288" s="256">
        <f t="shared" si="62"/>
        <v>3683.4856591722687</v>
      </c>
      <c r="AD288" s="256">
        <f t="shared" si="63"/>
        <v>-50.491447121873499</v>
      </c>
      <c r="AE288" s="261">
        <f t="shared" si="64"/>
        <v>3671.5149515665689</v>
      </c>
      <c r="AG288" s="260">
        <f t="shared" si="65"/>
        <v>2948.6706033457276</v>
      </c>
      <c r="AH288" s="256">
        <f t="shared" si="66"/>
        <v>3893.4856591722678</v>
      </c>
      <c r="AI288" s="256">
        <f t="shared" si="67"/>
        <v>2949.5085528781265</v>
      </c>
      <c r="AJ288" s="261">
        <f t="shared" si="68"/>
        <v>3881.514951566568</v>
      </c>
    </row>
    <row r="289" spans="3:36" ht="15.75" thickBot="1" x14ac:dyDescent="0.3">
      <c r="C289" s="403"/>
      <c r="D289" s="256">
        <v>228.9</v>
      </c>
      <c r="E289" s="256">
        <v>1435</v>
      </c>
      <c r="F289" s="256">
        <v>228.9</v>
      </c>
      <c r="G289" s="256">
        <v>1433</v>
      </c>
      <c r="H289" s="256" t="s">
        <v>15</v>
      </c>
      <c r="I289" s="261">
        <v>1</v>
      </c>
      <c r="M289" s="260" cm="1">
        <f t="array" ref="M289:N289">O287:P287</f>
        <v>-8</v>
      </c>
      <c r="N289" s="256">
        <v>-36</v>
      </c>
      <c r="O289" s="256">
        <f>M287+2</f>
        <v>-6</v>
      </c>
      <c r="P289" s="256">
        <f>P288-2</f>
        <v>-38</v>
      </c>
      <c r="T289" s="408"/>
      <c r="U289" s="256">
        <f t="shared" si="57"/>
        <v>27.6</v>
      </c>
      <c r="V289" s="256">
        <f t="shared" si="58"/>
        <v>154.5</v>
      </c>
      <c r="W289" s="256">
        <f t="shared" si="59"/>
        <v>-47.4</v>
      </c>
      <c r="X289" s="261">
        <f t="shared" si="60"/>
        <v>154.5</v>
      </c>
      <c r="AB289" s="260">
        <f t="shared" si="61"/>
        <v>11.43701355827868</v>
      </c>
      <c r="AC289" s="256">
        <f t="shared" si="62"/>
        <v>3681.8646258506633</v>
      </c>
      <c r="AD289" s="256">
        <f t="shared" si="63"/>
        <v>-63.37990897734332</v>
      </c>
      <c r="AE289" s="261">
        <f t="shared" si="64"/>
        <v>3676.62744127317</v>
      </c>
      <c r="AG289" s="260">
        <f t="shared" si="65"/>
        <v>3011.437013558279</v>
      </c>
      <c r="AH289" s="256">
        <f t="shared" si="66"/>
        <v>3891.8646258506624</v>
      </c>
      <c r="AI289" s="256">
        <f t="shared" si="67"/>
        <v>2936.6200910226571</v>
      </c>
      <c r="AJ289" s="261">
        <f t="shared" si="68"/>
        <v>3886.6274412731691</v>
      </c>
    </row>
    <row r="290" spans="3:36" x14ac:dyDescent="0.25">
      <c r="C290" s="403"/>
      <c r="D290" s="256">
        <v>191.1</v>
      </c>
      <c r="E290" s="256">
        <v>1433</v>
      </c>
      <c r="F290" s="256">
        <v>228.9</v>
      </c>
      <c r="G290" s="256">
        <v>1433</v>
      </c>
      <c r="H290" s="256" t="s">
        <v>15</v>
      </c>
      <c r="I290" s="261">
        <v>1</v>
      </c>
      <c r="M290" s="260" cm="1">
        <f t="array" ref="M290:N290">O288:P288</f>
        <v>8</v>
      </c>
      <c r="N290" s="256">
        <v>-36</v>
      </c>
      <c r="O290" s="256">
        <f>M290-2</f>
        <v>6</v>
      </c>
      <c r="P290" s="256">
        <f>P289</f>
        <v>-38</v>
      </c>
      <c r="T290" s="394" t="s">
        <v>388</v>
      </c>
      <c r="U290" s="395"/>
      <c r="V290" s="395"/>
      <c r="W290" s="395"/>
      <c r="X290" s="395"/>
      <c r="Y290" s="395"/>
      <c r="Z290" s="395"/>
      <c r="AA290" s="395"/>
      <c r="AB290" s="395"/>
      <c r="AC290" s="395"/>
      <c r="AD290" s="395"/>
      <c r="AE290" s="395"/>
      <c r="AF290" s="395"/>
      <c r="AG290" s="395"/>
      <c r="AH290" s="395"/>
      <c r="AI290" s="395"/>
      <c r="AJ290" s="396"/>
    </row>
    <row r="291" spans="3:36" ht="15.75" thickBot="1" x14ac:dyDescent="0.3">
      <c r="C291" s="403"/>
      <c r="D291" s="256">
        <v>203.05</v>
      </c>
      <c r="E291" s="256">
        <v>1445</v>
      </c>
      <c r="F291" s="256">
        <v>203.05</v>
      </c>
      <c r="G291" s="256">
        <v>1435</v>
      </c>
      <c r="H291" s="256" t="s">
        <v>15</v>
      </c>
      <c r="I291" s="261">
        <v>1</v>
      </c>
      <c r="M291" s="260" cm="1">
        <f t="array" ref="M291:N291">O289:P289</f>
        <v>-6</v>
      </c>
      <c r="N291" s="256">
        <v>-38</v>
      </c>
      <c r="O291" s="256" cm="1">
        <f t="array" ref="O291:P291">O290:P290</f>
        <v>6</v>
      </c>
      <c r="P291" s="256">
        <v>-38</v>
      </c>
      <c r="T291" s="260"/>
      <c r="U291" s="317"/>
      <c r="V291" s="317"/>
      <c r="W291" s="266" t="s">
        <v>101</v>
      </c>
      <c r="AJ291" s="261"/>
    </row>
    <row r="292" spans="3:36" ht="15.75" thickBot="1" x14ac:dyDescent="0.3">
      <c r="C292" s="403"/>
      <c r="D292" s="256">
        <v>216.95</v>
      </c>
      <c r="E292" s="256">
        <v>1445</v>
      </c>
      <c r="F292" s="256">
        <v>216.95</v>
      </c>
      <c r="G292" s="256">
        <v>1435</v>
      </c>
      <c r="H292" s="256" t="s">
        <v>15</v>
      </c>
      <c r="I292" s="261">
        <v>1</v>
      </c>
      <c r="M292" s="263">
        <v>0</v>
      </c>
      <c r="N292" s="264">
        <f>12+S263*S261</f>
        <v>24.5</v>
      </c>
      <c r="O292" s="264">
        <f>0</f>
        <v>0</v>
      </c>
      <c r="P292" s="264">
        <f>-S261+12-S263*S261</f>
        <v>-50.5</v>
      </c>
      <c r="Q292" s="264" t="s">
        <v>366</v>
      </c>
      <c r="R292" s="264"/>
      <c r="S292" s="264"/>
      <c r="T292" s="407" t="s">
        <v>53</v>
      </c>
      <c r="U292" s="258">
        <f>-Parametry!H29/2-Parametry!J29</f>
        <v>-18.100000000000001</v>
      </c>
      <c r="V292" s="258">
        <f>Parametry!I29+Parametry!J29</f>
        <v>24.8</v>
      </c>
      <c r="W292" s="259">
        <f>Parametry!J29</f>
        <v>15</v>
      </c>
      <c r="X292" s="258"/>
      <c r="Y292" s="258"/>
      <c r="Z292" s="258"/>
      <c r="AA292" s="258"/>
      <c r="AB292" s="257">
        <f t="shared" si="61"/>
        <v>-25.094593377414832</v>
      </c>
      <c r="AC292" s="259">
        <f t="shared" si="62"/>
        <v>3549.2900366765084</v>
      </c>
      <c r="AD292" s="258"/>
      <c r="AE292" s="258"/>
      <c r="AF292" s="258"/>
      <c r="AG292" s="257">
        <f t="shared" si="65"/>
        <v>2974.9054066225854</v>
      </c>
      <c r="AH292" s="259">
        <f t="shared" si="66"/>
        <v>3759.2900366765075</v>
      </c>
      <c r="AI292" s="258"/>
      <c r="AJ292" s="259"/>
    </row>
    <row r="293" spans="3:36" x14ac:dyDescent="0.25">
      <c r="C293" s="403"/>
      <c r="D293" s="256">
        <v>202</v>
      </c>
      <c r="E293" s="256">
        <v>1433</v>
      </c>
      <c r="F293" s="256">
        <v>202</v>
      </c>
      <c r="G293" s="256">
        <v>1414</v>
      </c>
      <c r="H293" s="256" t="s">
        <v>371</v>
      </c>
      <c r="I293" s="261">
        <v>1</v>
      </c>
      <c r="T293" s="408"/>
      <c r="U293" s="256">
        <f>-U292</f>
        <v>18.100000000000001</v>
      </c>
      <c r="V293" s="256">
        <f>V292</f>
        <v>24.8</v>
      </c>
      <c r="W293" s="261">
        <f>Parametry!J29</f>
        <v>15</v>
      </c>
      <c r="AB293" s="260">
        <f t="shared" si="61"/>
        <v>11.017041233112058</v>
      </c>
      <c r="AC293" s="261">
        <f t="shared" si="62"/>
        <v>3551.8178510992452</v>
      </c>
      <c r="AG293" s="260">
        <f t="shared" si="65"/>
        <v>3011.0170412331126</v>
      </c>
      <c r="AH293" s="261">
        <f t="shared" si="66"/>
        <v>3761.8178510992443</v>
      </c>
      <c r="AJ293" s="261"/>
    </row>
    <row r="294" spans="3:36" ht="15" customHeight="1" x14ac:dyDescent="0.25">
      <c r="C294" s="403"/>
      <c r="D294" s="256">
        <v>218</v>
      </c>
      <c r="E294" s="256">
        <v>1433</v>
      </c>
      <c r="F294" s="256">
        <v>218</v>
      </c>
      <c r="G294" s="256">
        <v>1414</v>
      </c>
      <c r="H294" s="256" t="s">
        <v>371</v>
      </c>
      <c r="I294" s="261">
        <v>1</v>
      </c>
      <c r="T294" s="408"/>
      <c r="U294" s="256">
        <f>U292</f>
        <v>-18.100000000000001</v>
      </c>
      <c r="V294" s="256">
        <f>Parametry!F29-Parametry!I29-Parametry!J29</f>
        <v>215.2</v>
      </c>
      <c r="W294" s="261">
        <f>Parametry!J29</f>
        <v>15</v>
      </c>
      <c r="AB294" s="260">
        <f t="shared" si="61"/>
        <v>-38.390059291478437</v>
      </c>
      <c r="AC294" s="261">
        <f t="shared" si="62"/>
        <v>3739.2252640202742</v>
      </c>
      <c r="AG294" s="260">
        <f t="shared" si="65"/>
        <v>2961.6099407085217</v>
      </c>
      <c r="AH294" s="261">
        <f t="shared" si="66"/>
        <v>3949.2252640202732</v>
      </c>
      <c r="AJ294" s="261"/>
    </row>
    <row r="295" spans="3:36" ht="15.75" thickBot="1" x14ac:dyDescent="0.3">
      <c r="C295" s="403"/>
      <c r="D295" s="256">
        <v>191.1</v>
      </c>
      <c r="E295" s="256">
        <v>1414</v>
      </c>
      <c r="F295" s="256">
        <v>228.9</v>
      </c>
      <c r="G295" s="256">
        <v>1414</v>
      </c>
      <c r="H295" s="256" t="s">
        <v>15</v>
      </c>
      <c r="I295" s="261">
        <v>1</v>
      </c>
      <c r="T295" s="409"/>
      <c r="U295" s="264">
        <f>-U294</f>
        <v>18.100000000000001</v>
      </c>
      <c r="V295" s="264">
        <f>V294</f>
        <v>215.2</v>
      </c>
      <c r="W295" s="265">
        <f>Parametry!J29</f>
        <v>15</v>
      </c>
      <c r="AB295" s="263">
        <f t="shared" si="61"/>
        <v>-2.2784246809515434</v>
      </c>
      <c r="AC295" s="265">
        <f t="shared" si="62"/>
        <v>3741.753078443011</v>
      </c>
      <c r="AG295" s="263">
        <f t="shared" si="65"/>
        <v>2997.721575319049</v>
      </c>
      <c r="AH295" s="265">
        <f t="shared" si="66"/>
        <v>3951.7530784430101</v>
      </c>
      <c r="AJ295" s="261"/>
    </row>
    <row r="296" spans="3:36" ht="15" customHeight="1" x14ac:dyDescent="0.25">
      <c r="C296" s="403"/>
      <c r="D296" s="256">
        <v>191.1</v>
      </c>
      <c r="E296" s="256">
        <v>1414</v>
      </c>
      <c r="F296" s="256">
        <v>191.1</v>
      </c>
      <c r="G296" s="256">
        <v>1412</v>
      </c>
      <c r="H296" s="256" t="s">
        <v>15</v>
      </c>
      <c r="I296" s="261">
        <v>1</v>
      </c>
      <c r="T296" s="410" t="s">
        <v>404</v>
      </c>
      <c r="U296" s="258">
        <f>W221</f>
        <v>-7.6</v>
      </c>
      <c r="V296" s="258">
        <f>X221-Parametry!J36</f>
        <v>174.5</v>
      </c>
      <c r="W296" s="259">
        <f>Parametry!J36</f>
        <v>5.5</v>
      </c>
      <c r="AB296" s="257">
        <f t="shared" si="61"/>
        <v>-25.073644639104856</v>
      </c>
      <c r="AC296" s="259">
        <f t="shared" si="62"/>
        <v>3699.3578198984592</v>
      </c>
      <c r="AG296" s="257">
        <f t="shared" si="65"/>
        <v>2974.9263553608957</v>
      </c>
      <c r="AH296" s="259">
        <f t="shared" si="66"/>
        <v>3909.3578198984583</v>
      </c>
      <c r="AJ296" s="261"/>
    </row>
    <row r="297" spans="3:36" x14ac:dyDescent="0.25">
      <c r="C297" s="403"/>
      <c r="D297" s="256">
        <v>228.9</v>
      </c>
      <c r="E297" s="256">
        <v>1414</v>
      </c>
      <c r="F297" s="256">
        <v>228.9</v>
      </c>
      <c r="G297" s="256">
        <v>1412</v>
      </c>
      <c r="H297" s="256" t="s">
        <v>15</v>
      </c>
      <c r="I297" s="261">
        <v>1</v>
      </c>
      <c r="T297" s="411"/>
      <c r="U297" s="256">
        <f>W222+Parametry!J36</f>
        <v>-72.599999999999994</v>
      </c>
      <c r="V297" s="256">
        <f>X222</f>
        <v>34.5</v>
      </c>
      <c r="W297" s="261">
        <f>Parametry!J36</f>
        <v>5.5</v>
      </c>
      <c r="AB297" s="260">
        <f t="shared" si="61"/>
        <v>-80.138899625322651</v>
      </c>
      <c r="AC297" s="261">
        <f t="shared" si="62"/>
        <v>3555.1606711981367</v>
      </c>
      <c r="AG297" s="260">
        <f t="shared" si="65"/>
        <v>2919.8611003746778</v>
      </c>
      <c r="AH297" s="261">
        <f t="shared" si="66"/>
        <v>3765.1606711981358</v>
      </c>
      <c r="AJ297" s="261"/>
    </row>
    <row r="298" spans="3:36" ht="24" customHeight="1" thickBot="1" x14ac:dyDescent="0.3">
      <c r="C298" s="403"/>
      <c r="D298" s="256">
        <v>191.1</v>
      </c>
      <c r="E298" s="256">
        <v>1412</v>
      </c>
      <c r="F298" s="256">
        <v>228.9</v>
      </c>
      <c r="G298" s="256">
        <v>1412</v>
      </c>
      <c r="H298" s="256" t="s">
        <v>15</v>
      </c>
      <c r="I298" s="261">
        <v>1</v>
      </c>
      <c r="T298" s="412"/>
      <c r="U298" s="264">
        <f>W224</f>
        <v>-24.1</v>
      </c>
      <c r="V298" s="264">
        <f>X223</f>
        <v>51</v>
      </c>
      <c r="W298" s="265">
        <f>Parametry!I36</f>
        <v>11</v>
      </c>
      <c r="X298" s="264"/>
      <c r="Y298" s="264"/>
      <c r="Z298" s="264"/>
      <c r="AA298" s="264"/>
      <c r="AB298" s="263">
        <f t="shared" si="61"/>
        <v>-32.909470326002335</v>
      </c>
      <c r="AC298" s="265">
        <f t="shared" si="62"/>
        <v>3575.0071068494194</v>
      </c>
      <c r="AD298" s="264"/>
      <c r="AE298" s="264"/>
      <c r="AF298" s="264"/>
      <c r="AG298" s="263">
        <f t="shared" si="65"/>
        <v>2967.0905296739979</v>
      </c>
      <c r="AH298" s="265">
        <f t="shared" si="66"/>
        <v>3785.0071068494185</v>
      </c>
      <c r="AI298" s="264"/>
      <c r="AJ298" s="265"/>
    </row>
    <row r="299" spans="3:36" x14ac:dyDescent="0.25">
      <c r="C299" s="403"/>
      <c r="D299" s="256">
        <v>198.1</v>
      </c>
      <c r="E299" s="256">
        <v>1412</v>
      </c>
      <c r="F299" s="256">
        <v>196.1</v>
      </c>
      <c r="G299" s="256">
        <v>1410</v>
      </c>
      <c r="H299" s="256" t="s">
        <v>15</v>
      </c>
      <c r="I299" s="261">
        <v>1</v>
      </c>
      <c r="T299" s="341"/>
      <c r="AJ299" s="261"/>
    </row>
    <row r="300" spans="3:36" ht="15.75" thickBot="1" x14ac:dyDescent="0.3">
      <c r="C300" s="403"/>
      <c r="D300" s="256">
        <v>221.9</v>
      </c>
      <c r="E300" s="256">
        <v>1412</v>
      </c>
      <c r="F300" s="256">
        <v>223.9</v>
      </c>
      <c r="G300" s="256">
        <v>1410</v>
      </c>
      <c r="H300" s="256" t="s">
        <v>15</v>
      </c>
      <c r="I300" s="261">
        <v>1</v>
      </c>
      <c r="T300" s="341"/>
      <c r="AJ300" s="261"/>
    </row>
    <row r="301" spans="3:36" ht="15.75" thickBot="1" x14ac:dyDescent="0.3">
      <c r="C301" s="403"/>
      <c r="D301" s="256">
        <v>223.9</v>
      </c>
      <c r="E301" s="256">
        <v>1410</v>
      </c>
      <c r="F301" s="256">
        <v>223.9</v>
      </c>
      <c r="G301" s="256">
        <v>1401</v>
      </c>
      <c r="H301" s="256" t="s">
        <v>15</v>
      </c>
      <c r="I301" s="261">
        <v>1</v>
      </c>
      <c r="T301" s="270" t="s">
        <v>99</v>
      </c>
      <c r="U301" s="290" t="s">
        <v>100</v>
      </c>
      <c r="V301" s="290" t="s">
        <v>101</v>
      </c>
      <c r="W301" s="290" t="s">
        <v>102</v>
      </c>
      <c r="X301" s="290" t="s">
        <v>103</v>
      </c>
      <c r="Y301" s="290" t="s">
        <v>97</v>
      </c>
      <c r="Z301" s="291" t="s">
        <v>19</v>
      </c>
      <c r="AJ301" s="261"/>
    </row>
    <row r="302" spans="3:36" x14ac:dyDescent="0.25">
      <c r="C302" s="403"/>
      <c r="D302" s="256">
        <v>196.1</v>
      </c>
      <c r="E302" s="256">
        <v>1410</v>
      </c>
      <c r="F302" s="256">
        <v>196.1</v>
      </c>
      <c r="G302" s="256">
        <v>1401</v>
      </c>
      <c r="H302" s="256" t="s">
        <v>15</v>
      </c>
      <c r="I302" s="261">
        <v>1</v>
      </c>
      <c r="T302" s="257" cm="1">
        <f t="array" ref="T302:U308">AB292:AC298</f>
        <v>-25.094593377414832</v>
      </c>
      <c r="U302" s="258">
        <v>3549.2900366765084</v>
      </c>
      <c r="V302" s="258" cm="1">
        <f t="array" ref="V302:V308">W292:W298</f>
        <v>15</v>
      </c>
      <c r="W302" s="258">
        <f>RADIANS(270)+$Z$205</f>
        <v>4.7822749820193318</v>
      </c>
      <c r="X302" s="258">
        <f>RADIANS(0)+$Z$205</f>
        <v>6.9886001634642508E-2</v>
      </c>
      <c r="Y302" s="258" t="s">
        <v>14</v>
      </c>
      <c r="Z302" s="259">
        <v>1</v>
      </c>
      <c r="AJ302" s="261"/>
    </row>
    <row r="303" spans="3:36" x14ac:dyDescent="0.25">
      <c r="C303" s="403"/>
      <c r="D303" s="256">
        <v>196.1</v>
      </c>
      <c r="E303" s="256">
        <v>1401</v>
      </c>
      <c r="F303" s="256">
        <v>198.1</v>
      </c>
      <c r="G303" s="256">
        <v>1399</v>
      </c>
      <c r="H303" s="256" t="s">
        <v>15</v>
      </c>
      <c r="I303" s="261">
        <v>1</v>
      </c>
      <c r="T303" s="260">
        <v>11.017041233112058</v>
      </c>
      <c r="U303" s="256">
        <v>3551.8178510992452</v>
      </c>
      <c r="V303" s="256">
        <v>15</v>
      </c>
      <c r="W303" s="256">
        <f>RADIANS(180)+$Z$205</f>
        <v>3.2114786552244357</v>
      </c>
      <c r="X303" s="256">
        <f>RADIANS(270)+$Z$205</f>
        <v>4.7822749820193318</v>
      </c>
      <c r="Y303" s="256" t="s">
        <v>14</v>
      </c>
      <c r="Z303" s="261">
        <v>1</v>
      </c>
      <c r="AJ303" s="261"/>
    </row>
    <row r="304" spans="3:36" x14ac:dyDescent="0.25">
      <c r="C304" s="403"/>
      <c r="D304" s="256">
        <v>223.9</v>
      </c>
      <c r="E304" s="256">
        <v>1401</v>
      </c>
      <c r="F304" s="256">
        <v>221.9</v>
      </c>
      <c r="G304" s="256">
        <v>1399</v>
      </c>
      <c r="H304" s="256" t="s">
        <v>15</v>
      </c>
      <c r="I304" s="261">
        <v>1</v>
      </c>
      <c r="T304" s="260">
        <v>-38.390059291478437</v>
      </c>
      <c r="U304" s="256">
        <v>3739.2252640202742</v>
      </c>
      <c r="V304" s="256">
        <v>15</v>
      </c>
      <c r="W304" s="256">
        <f>RADIANS(0)+$Z$205</f>
        <v>6.9886001634642508E-2</v>
      </c>
      <c r="X304" s="256">
        <f>RADIANS(90)+$Z$205</f>
        <v>1.6406823284295391</v>
      </c>
      <c r="Y304" s="256" t="s">
        <v>14</v>
      </c>
      <c r="Z304" s="261">
        <v>1</v>
      </c>
      <c r="AJ304" s="261"/>
    </row>
    <row r="305" spans="3:36" ht="15.75" thickBot="1" x14ac:dyDescent="0.3">
      <c r="C305" s="403"/>
      <c r="D305" s="256">
        <v>198.1</v>
      </c>
      <c r="E305" s="256">
        <v>1399</v>
      </c>
      <c r="F305" s="256">
        <v>221.9</v>
      </c>
      <c r="G305" s="256">
        <v>1399</v>
      </c>
      <c r="H305" s="256" t="s">
        <v>15</v>
      </c>
      <c r="I305" s="261">
        <v>1</v>
      </c>
      <c r="T305" s="263">
        <v>-2.2784246809515434</v>
      </c>
      <c r="U305" s="264">
        <v>3741.753078443011</v>
      </c>
      <c r="V305" s="264">
        <v>15</v>
      </c>
      <c r="W305" s="264">
        <f>RADIANS(90)+$Z$205</f>
        <v>1.6406823284295391</v>
      </c>
      <c r="X305" s="264">
        <f>RADIANS(180)+$Z$205</f>
        <v>3.2114786552244357</v>
      </c>
      <c r="Y305" s="264" t="s">
        <v>14</v>
      </c>
      <c r="Z305" s="265">
        <v>1</v>
      </c>
      <c r="AJ305" s="261"/>
    </row>
    <row r="306" spans="3:36" x14ac:dyDescent="0.25">
      <c r="C306" s="403"/>
      <c r="D306" s="256">
        <v>203.05</v>
      </c>
      <c r="E306" s="256">
        <v>1412</v>
      </c>
      <c r="F306" s="256">
        <v>203.05</v>
      </c>
      <c r="G306" s="256">
        <v>1399</v>
      </c>
      <c r="H306" s="256" t="s">
        <v>15</v>
      </c>
      <c r="I306" s="261">
        <v>1</v>
      </c>
      <c r="T306" s="257">
        <v>-25.073644639104856</v>
      </c>
      <c r="U306" s="258">
        <v>3699.3578198984592</v>
      </c>
      <c r="V306" s="258">
        <v>5.5</v>
      </c>
      <c r="W306" s="258">
        <f>RADIANS(90)+$Z$205</f>
        <v>1.6406823284295391</v>
      </c>
      <c r="X306" s="258">
        <f>RADIANS(180)+$Z$205</f>
        <v>3.2114786552244357</v>
      </c>
      <c r="Y306" s="258" t="s">
        <v>11</v>
      </c>
      <c r="Z306" s="259">
        <v>1</v>
      </c>
      <c r="AJ306" s="261"/>
    </row>
    <row r="307" spans="3:36" x14ac:dyDescent="0.25">
      <c r="C307" s="403"/>
      <c r="D307" s="256">
        <v>216.95</v>
      </c>
      <c r="E307" s="256">
        <v>1412</v>
      </c>
      <c r="F307" s="256">
        <v>216.95</v>
      </c>
      <c r="G307" s="256">
        <v>1399</v>
      </c>
      <c r="H307" s="256" t="s">
        <v>15</v>
      </c>
      <c r="I307" s="261">
        <v>1</v>
      </c>
      <c r="T307" s="260">
        <v>-80.138899625322651</v>
      </c>
      <c r="U307" s="256">
        <v>3555.1606711981367</v>
      </c>
      <c r="V307" s="256">
        <v>5.5</v>
      </c>
      <c r="W307" s="256">
        <f>RADIANS(90)+$Z$205</f>
        <v>1.6406823284295391</v>
      </c>
      <c r="X307" s="256">
        <f>RADIANS(180)+$Z$205</f>
        <v>3.2114786552244357</v>
      </c>
      <c r="Y307" s="256" t="s">
        <v>11</v>
      </c>
      <c r="Z307" s="261">
        <v>1</v>
      </c>
      <c r="AJ307" s="261"/>
    </row>
    <row r="308" spans="3:36" ht="15.75" thickBot="1" x14ac:dyDescent="0.3">
      <c r="C308" s="403"/>
      <c r="D308" s="256">
        <v>202</v>
      </c>
      <c r="E308" s="256">
        <v>1399</v>
      </c>
      <c r="F308" s="256">
        <v>202</v>
      </c>
      <c r="G308" s="256">
        <v>1397</v>
      </c>
      <c r="H308" s="256" t="s">
        <v>15</v>
      </c>
      <c r="I308" s="261">
        <v>1</v>
      </c>
      <c r="T308" s="263">
        <v>-32.909470326002335</v>
      </c>
      <c r="U308" s="264">
        <v>3575.0071068494194</v>
      </c>
      <c r="V308" s="264">
        <v>11</v>
      </c>
      <c r="W308" s="264">
        <f t="shared" ref="W308" si="69">RADIANS(270)+$Z$205</f>
        <v>4.7822749820193318</v>
      </c>
      <c r="X308" s="264">
        <f t="shared" ref="X308" si="70">RADIANS(0)+$Z$205</f>
        <v>6.9886001634642508E-2</v>
      </c>
      <c r="Y308" s="264" t="s">
        <v>11</v>
      </c>
      <c r="Z308" s="265">
        <v>1</v>
      </c>
      <c r="AJ308" s="261"/>
    </row>
    <row r="309" spans="3:36" x14ac:dyDescent="0.25">
      <c r="C309" s="403"/>
      <c r="D309" s="256">
        <v>218</v>
      </c>
      <c r="E309" s="256">
        <v>1399</v>
      </c>
      <c r="F309" s="256">
        <v>218</v>
      </c>
      <c r="G309" s="256">
        <v>1397</v>
      </c>
      <c r="H309" s="256" t="s">
        <v>15</v>
      </c>
      <c r="I309" s="261">
        <v>1</v>
      </c>
      <c r="T309" s="257" cm="1">
        <f t="array" ref="T309:U315">AG292:AH298</f>
        <v>2974.9054066225854</v>
      </c>
      <c r="U309" s="258">
        <v>3759.2900366765075</v>
      </c>
      <c r="V309" s="258" cm="1">
        <f t="array" ref="V309:V315">W292:W298</f>
        <v>15</v>
      </c>
      <c r="W309" s="258" cm="1">
        <f t="array" ref="W309:W315">W302:W308</f>
        <v>4.7822749820193318</v>
      </c>
      <c r="X309" s="258" cm="1">
        <f t="array" ref="X309:X315">X302:X308</f>
        <v>6.9886001634642508E-2</v>
      </c>
      <c r="Y309" s="258" t="s">
        <v>14</v>
      </c>
      <c r="Z309" s="259">
        <v>1</v>
      </c>
      <c r="AJ309" s="261"/>
    </row>
    <row r="310" spans="3:36" x14ac:dyDescent="0.25">
      <c r="C310" s="403"/>
      <c r="D310" s="256">
        <v>202</v>
      </c>
      <c r="E310" s="256">
        <v>1397</v>
      </c>
      <c r="F310" s="256">
        <v>204</v>
      </c>
      <c r="G310" s="256">
        <v>1395</v>
      </c>
      <c r="H310" s="256" t="s">
        <v>15</v>
      </c>
      <c r="I310" s="261">
        <v>1</v>
      </c>
      <c r="T310" s="260">
        <v>3011.0170412331126</v>
      </c>
      <c r="U310" s="256">
        <v>3761.8178510992443</v>
      </c>
      <c r="V310" s="256">
        <v>15</v>
      </c>
      <c r="W310" s="256">
        <v>3.2114786552244357</v>
      </c>
      <c r="X310" s="256">
        <v>4.7822749820193318</v>
      </c>
      <c r="Y310" s="256" t="s">
        <v>14</v>
      </c>
      <c r="Z310" s="261">
        <v>1</v>
      </c>
      <c r="AJ310" s="261"/>
    </row>
    <row r="311" spans="3:36" x14ac:dyDescent="0.25">
      <c r="C311" s="403"/>
      <c r="D311" s="256">
        <v>218</v>
      </c>
      <c r="E311" s="256">
        <v>1397</v>
      </c>
      <c r="F311" s="256">
        <v>216</v>
      </c>
      <c r="G311" s="256">
        <v>1395</v>
      </c>
      <c r="H311" s="256" t="s">
        <v>15</v>
      </c>
      <c r="I311" s="261">
        <v>1</v>
      </c>
      <c r="T311" s="260">
        <v>2961.6099407085217</v>
      </c>
      <c r="U311" s="256">
        <v>3949.2252640202732</v>
      </c>
      <c r="V311" s="256">
        <v>15</v>
      </c>
      <c r="W311" s="256">
        <v>6.9886001634642508E-2</v>
      </c>
      <c r="X311" s="256">
        <v>1.6406823284295391</v>
      </c>
      <c r="Y311" s="256" t="s">
        <v>14</v>
      </c>
      <c r="Z311" s="261">
        <v>1</v>
      </c>
      <c r="AJ311" s="261"/>
    </row>
    <row r="312" spans="3:36" ht="15.75" thickBot="1" x14ac:dyDescent="0.3">
      <c r="C312" s="403"/>
      <c r="D312" s="256">
        <v>204</v>
      </c>
      <c r="E312" s="256">
        <v>1395</v>
      </c>
      <c r="F312" s="256">
        <v>216</v>
      </c>
      <c r="G312" s="256">
        <v>1395</v>
      </c>
      <c r="H312" s="256" t="s">
        <v>15</v>
      </c>
      <c r="I312" s="261">
        <v>1</v>
      </c>
      <c r="T312" s="263">
        <v>2997.721575319049</v>
      </c>
      <c r="U312" s="264">
        <v>3951.7530784430101</v>
      </c>
      <c r="V312" s="264">
        <v>15</v>
      </c>
      <c r="W312" s="264">
        <v>1.6406823284295391</v>
      </c>
      <c r="X312" s="264">
        <v>3.2114786552244357</v>
      </c>
      <c r="Y312" s="264" t="s">
        <v>14</v>
      </c>
      <c r="Z312" s="265">
        <v>1</v>
      </c>
      <c r="AJ312" s="261"/>
    </row>
    <row r="313" spans="3:36" ht="15.75" thickBot="1" x14ac:dyDescent="0.3">
      <c r="C313" s="404"/>
      <c r="D313" s="264">
        <v>210</v>
      </c>
      <c r="E313" s="264">
        <v>1457.5</v>
      </c>
      <c r="F313" s="264">
        <v>210</v>
      </c>
      <c r="G313" s="264">
        <v>1382.5</v>
      </c>
      <c r="H313" s="264" t="s">
        <v>372</v>
      </c>
      <c r="I313" s="265">
        <v>0.9</v>
      </c>
      <c r="T313" s="257">
        <v>2974.9263553608957</v>
      </c>
      <c r="U313" s="258">
        <v>3909.3578198984583</v>
      </c>
      <c r="V313" s="258">
        <v>5.5</v>
      </c>
      <c r="W313" s="258">
        <v>1.6406823284295391</v>
      </c>
      <c r="X313" s="258">
        <v>3.2114786552244357</v>
      </c>
      <c r="Y313" s="258" t="s">
        <v>11</v>
      </c>
      <c r="Z313" s="259">
        <v>1</v>
      </c>
      <c r="AJ313" s="261"/>
    </row>
    <row r="314" spans="3:36" x14ac:dyDescent="0.25">
      <c r="C314" s="402" t="s">
        <v>374</v>
      </c>
      <c r="D314" s="258" cm="1">
        <f t="array" ref="D314:D345">R231+M225:M256</f>
        <v>-95.2</v>
      </c>
      <c r="E314" s="258" cm="1">
        <f t="array" ref="E314:E345">S231+N225:N256</f>
        <v>3110.5</v>
      </c>
      <c r="F314" s="258" cm="1">
        <f t="array" ref="F314:F345">R231+O225:O256</f>
        <v>-64.8</v>
      </c>
      <c r="G314" s="258" cm="1">
        <f t="array" ref="G314:G345">S231+P225:P256</f>
        <v>3110.5</v>
      </c>
      <c r="H314" s="258" t="s">
        <v>15</v>
      </c>
      <c r="I314" s="259">
        <v>1</v>
      </c>
      <c r="T314" s="260">
        <v>2919.8611003746778</v>
      </c>
      <c r="U314" s="256">
        <v>3765.1606711981358</v>
      </c>
      <c r="V314" s="256">
        <v>5.5</v>
      </c>
      <c r="W314" s="256">
        <v>1.6406823284295391</v>
      </c>
      <c r="X314" s="256">
        <v>3.2114786552244357</v>
      </c>
      <c r="Y314" s="256" t="s">
        <v>11</v>
      </c>
      <c r="Z314" s="261">
        <v>1</v>
      </c>
      <c r="AJ314" s="261"/>
    </row>
    <row r="315" spans="3:36" ht="15.75" thickBot="1" x14ac:dyDescent="0.3">
      <c r="C315" s="403"/>
      <c r="D315" s="256">
        <v>-64.8</v>
      </c>
      <c r="E315" s="256">
        <v>3110.5</v>
      </c>
      <c r="F315" s="256">
        <v>-62.8</v>
      </c>
      <c r="G315" s="256">
        <v>3108.5</v>
      </c>
      <c r="H315" s="256" t="s">
        <v>15</v>
      </c>
      <c r="I315" s="261">
        <v>1</v>
      </c>
      <c r="T315" s="263">
        <v>2967.0905296739979</v>
      </c>
      <c r="U315" s="264">
        <v>3785.0071068494185</v>
      </c>
      <c r="V315" s="264">
        <v>11</v>
      </c>
      <c r="W315" s="264">
        <v>4.7822749820193318</v>
      </c>
      <c r="X315" s="264">
        <v>6.9886001634642508E-2</v>
      </c>
      <c r="Y315" s="264" t="s">
        <v>11</v>
      </c>
      <c r="Z315" s="265">
        <v>1</v>
      </c>
      <c r="AA315" s="264"/>
      <c r="AB315" s="264"/>
      <c r="AC315" s="264"/>
      <c r="AD315" s="264"/>
      <c r="AE315" s="264"/>
      <c r="AF315" s="264"/>
      <c r="AG315" s="264"/>
      <c r="AH315" s="264"/>
      <c r="AI315" s="264"/>
      <c r="AJ315" s="265"/>
    </row>
    <row r="316" spans="3:36" x14ac:dyDescent="0.25">
      <c r="C316" s="403"/>
      <c r="D316" s="256">
        <v>-95.2</v>
      </c>
      <c r="E316" s="256">
        <v>3110.5</v>
      </c>
      <c r="F316" s="256">
        <v>-97.2</v>
      </c>
      <c r="G316" s="256">
        <v>3108.5</v>
      </c>
      <c r="H316" s="256" t="s">
        <v>15</v>
      </c>
      <c r="I316" s="261">
        <v>1</v>
      </c>
    </row>
    <row r="317" spans="3:36" x14ac:dyDescent="0.25">
      <c r="C317" s="403"/>
      <c r="D317" s="256">
        <v>-62.8</v>
      </c>
      <c r="E317" s="256">
        <v>3108.5</v>
      </c>
      <c r="F317" s="256">
        <v>-62.8</v>
      </c>
      <c r="G317" s="256">
        <v>3098</v>
      </c>
      <c r="H317" s="256" t="s">
        <v>15</v>
      </c>
      <c r="I317" s="261">
        <v>1</v>
      </c>
    </row>
    <row r="318" spans="3:36" x14ac:dyDescent="0.25">
      <c r="C318" s="403"/>
      <c r="D318" s="256">
        <v>-97.2</v>
      </c>
      <c r="E318" s="256">
        <v>3108.5</v>
      </c>
      <c r="F318" s="256">
        <v>-97.2</v>
      </c>
      <c r="G318" s="256">
        <v>3098</v>
      </c>
      <c r="H318" s="256" t="s">
        <v>15</v>
      </c>
      <c r="I318" s="261">
        <v>1</v>
      </c>
    </row>
    <row r="319" spans="3:36" ht="15.75" thickBot="1" x14ac:dyDescent="0.3">
      <c r="C319" s="403"/>
      <c r="D319" s="256">
        <v>-102.2</v>
      </c>
      <c r="E319" s="256">
        <v>3098</v>
      </c>
      <c r="F319" s="256">
        <v>-57.8</v>
      </c>
      <c r="G319" s="256">
        <v>3098</v>
      </c>
      <c r="H319" s="256" t="s">
        <v>15</v>
      </c>
      <c r="I319" s="261">
        <v>1</v>
      </c>
    </row>
    <row r="320" spans="3:36" x14ac:dyDescent="0.25">
      <c r="C320" s="403"/>
      <c r="D320" s="256">
        <v>-102.2</v>
      </c>
      <c r="E320" s="256">
        <v>3098</v>
      </c>
      <c r="F320" s="256">
        <v>-102.2</v>
      </c>
      <c r="G320" s="256">
        <v>3096</v>
      </c>
      <c r="H320" s="256" t="s">
        <v>15</v>
      </c>
      <c r="I320" s="261">
        <v>1</v>
      </c>
      <c r="M320" s="394" t="s">
        <v>430</v>
      </c>
      <c r="N320" s="395"/>
      <c r="O320" s="395"/>
      <c r="P320" s="395"/>
      <c r="Q320" s="395"/>
      <c r="R320" s="395"/>
      <c r="S320" s="395"/>
      <c r="T320" s="395"/>
      <c r="U320" s="395"/>
      <c r="V320" s="395"/>
      <c r="W320" s="395"/>
      <c r="X320" s="395"/>
      <c r="Y320" s="395"/>
      <c r="Z320" s="395"/>
      <c r="AA320" s="395"/>
      <c r="AB320" s="395"/>
      <c r="AC320" s="395"/>
      <c r="AD320" s="395"/>
      <c r="AE320" s="396"/>
    </row>
    <row r="321" spans="3:31" ht="30.75" thickBot="1" x14ac:dyDescent="0.3">
      <c r="C321" s="403"/>
      <c r="D321" s="256">
        <v>-57.8</v>
      </c>
      <c r="E321" s="256">
        <v>3098</v>
      </c>
      <c r="F321" s="256">
        <v>-57.8</v>
      </c>
      <c r="G321" s="256">
        <v>3096</v>
      </c>
      <c r="H321" s="256" t="s">
        <v>15</v>
      </c>
      <c r="I321" s="261">
        <v>1</v>
      </c>
      <c r="M321" s="401"/>
      <c r="N321" s="388"/>
      <c r="O321" s="388"/>
      <c r="P321" s="388"/>
      <c r="Q321" s="388"/>
      <c r="R321" s="388"/>
      <c r="S321" s="388"/>
      <c r="T321" s="254" t="s">
        <v>452</v>
      </c>
      <c r="AE321" s="261"/>
    </row>
    <row r="322" spans="3:31" ht="15.75" thickBot="1" x14ac:dyDescent="0.3">
      <c r="C322" s="403"/>
      <c r="D322" s="256">
        <v>-102.2</v>
      </c>
      <c r="E322" s="256">
        <v>3096</v>
      </c>
      <c r="F322" s="256">
        <v>-57.8</v>
      </c>
      <c r="G322" s="256">
        <v>3096</v>
      </c>
      <c r="H322" s="256" t="s">
        <v>15</v>
      </c>
      <c r="I322" s="261">
        <v>1</v>
      </c>
      <c r="M322" s="307" t="s">
        <v>366</v>
      </c>
      <c r="N322" s="320">
        <f>-Parametry!E52</f>
        <v>-1200</v>
      </c>
      <c r="O322" s="320">
        <f>E27-2*Parametry!P9-Parametry!P11-Parametry!E53*Parametry!R12-Parametry!E56</f>
        <v>2294</v>
      </c>
      <c r="P322" s="320">
        <f>N322</f>
        <v>-1200</v>
      </c>
      <c r="Q322" s="320">
        <f>O22+Parametry!F30+Parametry!F29+Parametry!E54</f>
        <v>3815.8140275378728</v>
      </c>
      <c r="R322" s="320" t="s">
        <v>9</v>
      </c>
      <c r="S322" s="320">
        <v>5</v>
      </c>
      <c r="T322" s="315"/>
      <c r="V322" s="391" t="s">
        <v>203</v>
      </c>
      <c r="W322" s="392"/>
      <c r="X322" s="392"/>
      <c r="Y322" s="393"/>
      <c r="AE322" s="261"/>
    </row>
    <row r="323" spans="3:31" ht="15.75" thickBot="1" x14ac:dyDescent="0.3">
      <c r="C323" s="403"/>
      <c r="D323" s="256">
        <v>-88.6</v>
      </c>
      <c r="E323" s="256">
        <v>3110.5</v>
      </c>
      <c r="F323" s="256">
        <v>-88.6</v>
      </c>
      <c r="G323" s="256">
        <v>3098</v>
      </c>
      <c r="H323" s="256" t="s">
        <v>15</v>
      </c>
      <c r="I323" s="261">
        <v>1</v>
      </c>
      <c r="M323" s="271" t="s">
        <v>437</v>
      </c>
      <c r="N323" s="256">
        <f>N322-(0.5+Parametry!E55)*Parametry!Q14</f>
        <v>-1440</v>
      </c>
      <c r="O323" s="256">
        <f>O322+Parametry!E56</f>
        <v>2394</v>
      </c>
      <c r="P323" s="256">
        <f>N322+(0.5+Parametry!E55)*Parametry!Q14</f>
        <v>-960</v>
      </c>
      <c r="Q323" s="256">
        <f>O323</f>
        <v>2394</v>
      </c>
      <c r="R323" s="256" t="s">
        <v>92</v>
      </c>
      <c r="S323" s="256">
        <v>22</v>
      </c>
      <c r="T323" s="285"/>
      <c r="V323" s="308" t="s">
        <v>205</v>
      </c>
      <c r="W323" s="308" t="s">
        <v>208</v>
      </c>
      <c r="X323" s="308" t="s">
        <v>206</v>
      </c>
      <c r="Y323" s="308" t="s">
        <v>207</v>
      </c>
      <c r="AE323" s="261"/>
    </row>
    <row r="324" spans="3:31" ht="15.75" thickBot="1" x14ac:dyDescent="0.3">
      <c r="C324" s="403"/>
      <c r="D324" s="256">
        <v>-71.400000000000006</v>
      </c>
      <c r="E324" s="256">
        <v>3110.5</v>
      </c>
      <c r="F324" s="256">
        <v>-71.400000000000006</v>
      </c>
      <c r="G324" s="256">
        <v>3098</v>
      </c>
      <c r="H324" s="256" t="s">
        <v>15</v>
      </c>
      <c r="I324" s="261">
        <v>1</v>
      </c>
      <c r="M324" s="402" t="s">
        <v>439</v>
      </c>
      <c r="N324" s="258">
        <f>N322-Parametry!Q9/2</f>
        <v>-1360</v>
      </c>
      <c r="O324" s="258">
        <f>E27</f>
        <v>3096</v>
      </c>
      <c r="P324" s="258">
        <f>N324+Parametry!Q9</f>
        <v>-1040</v>
      </c>
      <c r="Q324" s="258">
        <f>O324</f>
        <v>3096</v>
      </c>
      <c r="R324" s="258" t="s">
        <v>5</v>
      </c>
      <c r="S324" s="258">
        <v>1</v>
      </c>
      <c r="T324" s="295">
        <v>1</v>
      </c>
      <c r="V324" s="284" t="s">
        <v>204</v>
      </c>
      <c r="W324" s="284">
        <v>3</v>
      </c>
      <c r="X324" s="309">
        <f>RADIANS(0)</f>
        <v>0</v>
      </c>
      <c r="Y324" s="284" t="s">
        <v>6</v>
      </c>
      <c r="AE324" s="261"/>
    </row>
    <row r="325" spans="3:31" ht="15.75" thickBot="1" x14ac:dyDescent="0.3">
      <c r="C325" s="403"/>
      <c r="D325" s="256">
        <v>-90</v>
      </c>
      <c r="E325" s="256">
        <v>3096</v>
      </c>
      <c r="F325" s="256">
        <v>-90</v>
      </c>
      <c r="G325" s="256">
        <v>3034</v>
      </c>
      <c r="H325" s="256" t="s">
        <v>371</v>
      </c>
      <c r="I325" s="261">
        <v>1.5</v>
      </c>
      <c r="M325" s="403"/>
      <c r="N325" s="256">
        <f>N324</f>
        <v>-1360</v>
      </c>
      <c r="O325" s="256">
        <f>O324</f>
        <v>3096</v>
      </c>
      <c r="P325" s="256">
        <f>N325</f>
        <v>-1360</v>
      </c>
      <c r="Q325" s="256">
        <f>O325-Parametry!P9</f>
        <v>3080</v>
      </c>
      <c r="R325" s="352" t="str">
        <f>R324</f>
        <v>Blachy</v>
      </c>
      <c r="S325" s="256">
        <v>1</v>
      </c>
      <c r="T325" s="285">
        <v>1</v>
      </c>
      <c r="V325" s="284" t="s">
        <v>204</v>
      </c>
      <c r="W325" s="284">
        <v>3</v>
      </c>
      <c r="X325" s="309">
        <f>RADIANS(0)</f>
        <v>0</v>
      </c>
      <c r="Y325" s="284" t="s">
        <v>14</v>
      </c>
      <c r="AE325" s="261"/>
    </row>
    <row r="326" spans="3:31" x14ac:dyDescent="0.25">
      <c r="C326" s="403"/>
      <c r="D326" s="256">
        <v>-70</v>
      </c>
      <c r="E326" s="256">
        <v>3096</v>
      </c>
      <c r="F326" s="256">
        <v>-70</v>
      </c>
      <c r="G326" s="256">
        <v>3034</v>
      </c>
      <c r="H326" s="256" t="s">
        <v>371</v>
      </c>
      <c r="I326" s="261">
        <v>1.5</v>
      </c>
      <c r="M326" s="403"/>
      <c r="N326" s="256" cm="1">
        <f t="array" ref="N326:O326">P324:Q324</f>
        <v>-1040</v>
      </c>
      <c r="O326" s="256">
        <v>3096</v>
      </c>
      <c r="P326" s="256">
        <f>N326</f>
        <v>-1040</v>
      </c>
      <c r="Q326" s="256">
        <f>Q325</f>
        <v>3080</v>
      </c>
      <c r="R326" s="352" t="str">
        <f>R324</f>
        <v>Blachy</v>
      </c>
      <c r="S326" s="256">
        <v>1</v>
      </c>
      <c r="T326" s="285">
        <v>1</v>
      </c>
      <c r="AE326" s="261"/>
    </row>
    <row r="327" spans="3:31" ht="15.75" thickBot="1" x14ac:dyDescent="0.3">
      <c r="C327" s="403"/>
      <c r="D327" s="256">
        <v>-102.2</v>
      </c>
      <c r="E327" s="256">
        <v>3034</v>
      </c>
      <c r="F327" s="256">
        <v>-57.8</v>
      </c>
      <c r="G327" s="256">
        <v>3034</v>
      </c>
      <c r="H327" s="256" t="s">
        <v>15</v>
      </c>
      <c r="I327" s="261">
        <v>1</v>
      </c>
      <c r="M327" s="404"/>
      <c r="N327" s="264" cm="1">
        <f t="array" ref="N327:O327">P325:Q325</f>
        <v>-1360</v>
      </c>
      <c r="O327" s="264">
        <v>3080</v>
      </c>
      <c r="P327" s="264" cm="1">
        <f t="array" ref="P327:Q327">P326:Q326</f>
        <v>-1040</v>
      </c>
      <c r="Q327" s="264">
        <v>3080</v>
      </c>
      <c r="R327" s="353" t="str">
        <f>R324</f>
        <v>Blachy</v>
      </c>
      <c r="S327" s="264">
        <v>1</v>
      </c>
      <c r="T327" s="309">
        <v>1</v>
      </c>
      <c r="AE327" s="261"/>
    </row>
    <row r="328" spans="3:31" x14ac:dyDescent="0.25">
      <c r="C328" s="403"/>
      <c r="D328" s="256">
        <v>-102.2</v>
      </c>
      <c r="E328" s="256">
        <v>3034</v>
      </c>
      <c r="F328" s="256">
        <v>-102.2</v>
      </c>
      <c r="G328" s="256">
        <v>3032</v>
      </c>
      <c r="H328" s="256" t="s">
        <v>15</v>
      </c>
      <c r="I328" s="261">
        <v>1</v>
      </c>
      <c r="M328" s="391" t="s">
        <v>112</v>
      </c>
      <c r="N328" s="258">
        <f>N322-Parametry!R11/2</f>
        <v>-1360</v>
      </c>
      <c r="O328" s="258">
        <f>O327</f>
        <v>3080</v>
      </c>
      <c r="P328" s="258">
        <f>N322+Parametry!R11/2</f>
        <v>-1040</v>
      </c>
      <c r="Q328" s="258">
        <f>O328</f>
        <v>3080</v>
      </c>
      <c r="R328" s="258" t="s">
        <v>5</v>
      </c>
      <c r="S328" s="258">
        <v>1</v>
      </c>
      <c r="T328" s="285"/>
      <c r="AE328" s="261"/>
    </row>
    <row r="329" spans="3:31" x14ac:dyDescent="0.25">
      <c r="C329" s="403"/>
      <c r="D329" s="256">
        <v>-57.8</v>
      </c>
      <c r="E329" s="256">
        <v>3034</v>
      </c>
      <c r="F329" s="256">
        <v>-57.8</v>
      </c>
      <c r="G329" s="256">
        <v>3032</v>
      </c>
      <c r="H329" s="256" t="s">
        <v>15</v>
      </c>
      <c r="I329" s="261">
        <v>1</v>
      </c>
      <c r="M329" s="399"/>
      <c r="N329" s="256">
        <f>N328</f>
        <v>-1360</v>
      </c>
      <c r="O329" s="256">
        <f>O328-Parametry!P11</f>
        <v>3050</v>
      </c>
      <c r="P329" s="256">
        <f>P328</f>
        <v>-1040</v>
      </c>
      <c r="Q329" s="256">
        <f>O329</f>
        <v>3050</v>
      </c>
      <c r="R329" s="256" t="s">
        <v>5</v>
      </c>
      <c r="S329" s="256">
        <v>1</v>
      </c>
      <c r="T329" s="285"/>
      <c r="AE329" s="261"/>
    </row>
    <row r="330" spans="3:31" x14ac:dyDescent="0.25">
      <c r="C330" s="403"/>
      <c r="D330" s="256">
        <v>-102.2</v>
      </c>
      <c r="E330" s="256">
        <v>3032</v>
      </c>
      <c r="F330" s="256">
        <v>-57.8</v>
      </c>
      <c r="G330" s="256">
        <v>3032</v>
      </c>
      <c r="H330" s="256" t="s">
        <v>15</v>
      </c>
      <c r="I330" s="261">
        <v>1</v>
      </c>
      <c r="M330" s="399"/>
      <c r="N330" s="256">
        <f>N329</f>
        <v>-1360</v>
      </c>
      <c r="O330" s="256">
        <f>O328</f>
        <v>3080</v>
      </c>
      <c r="P330" s="256">
        <f>N330</f>
        <v>-1360</v>
      </c>
      <c r="Q330" s="256">
        <f>Q329</f>
        <v>3050</v>
      </c>
      <c r="R330" s="256" t="s">
        <v>5</v>
      </c>
      <c r="S330" s="256">
        <v>1</v>
      </c>
      <c r="T330" s="285"/>
      <c r="AE330" s="261"/>
    </row>
    <row r="331" spans="3:31" ht="15.75" thickBot="1" x14ac:dyDescent="0.3">
      <c r="C331" s="403"/>
      <c r="D331" s="256">
        <v>-95.2</v>
      </c>
      <c r="E331" s="256">
        <v>3032</v>
      </c>
      <c r="F331" s="256">
        <v>-97.2</v>
      </c>
      <c r="G331" s="256">
        <v>3030</v>
      </c>
      <c r="H331" s="256" t="s">
        <v>15</v>
      </c>
      <c r="I331" s="261">
        <v>1</v>
      </c>
      <c r="M331" s="399"/>
      <c r="N331" s="256">
        <f>P329</f>
        <v>-1040</v>
      </c>
      <c r="O331" s="256">
        <f>O330</f>
        <v>3080</v>
      </c>
      <c r="P331" s="256">
        <f>N331</f>
        <v>-1040</v>
      </c>
      <c r="Q331" s="256">
        <f>Q330</f>
        <v>3050</v>
      </c>
      <c r="R331" s="256" t="s">
        <v>5</v>
      </c>
      <c r="S331" s="256">
        <v>1</v>
      </c>
      <c r="T331" s="285"/>
      <c r="AE331" s="261"/>
    </row>
    <row r="332" spans="3:31" x14ac:dyDescent="0.25">
      <c r="C332" s="403"/>
      <c r="D332" s="256">
        <v>-64.8</v>
      </c>
      <c r="E332" s="256">
        <v>3032</v>
      </c>
      <c r="F332" s="256">
        <v>-62.8</v>
      </c>
      <c r="G332" s="256">
        <v>3030</v>
      </c>
      <c r="H332" s="256" t="s">
        <v>15</v>
      </c>
      <c r="I332" s="261">
        <v>1</v>
      </c>
      <c r="M332" s="391" t="s">
        <v>111</v>
      </c>
      <c r="N332" s="258">
        <f>N322-Parametry!R10/2</f>
        <v>-1310</v>
      </c>
      <c r="O332" s="258">
        <f>O331</f>
        <v>3080</v>
      </c>
      <c r="P332" s="258">
        <f>N322+Parametry!R10/2</f>
        <v>-1090</v>
      </c>
      <c r="Q332" s="258">
        <f>O332</f>
        <v>3080</v>
      </c>
      <c r="R332" s="258" t="s">
        <v>5</v>
      </c>
      <c r="S332" s="258">
        <v>1</v>
      </c>
      <c r="T332" s="295">
        <v>2</v>
      </c>
      <c r="AE332" s="261"/>
    </row>
    <row r="333" spans="3:31" x14ac:dyDescent="0.25">
      <c r="C333" s="403"/>
      <c r="D333" s="256">
        <v>-62.8</v>
      </c>
      <c r="E333" s="256">
        <v>3030</v>
      </c>
      <c r="F333" s="256">
        <v>-62.8</v>
      </c>
      <c r="G333" s="256">
        <v>3018</v>
      </c>
      <c r="H333" s="256" t="s">
        <v>15</v>
      </c>
      <c r="I333" s="261">
        <v>1</v>
      </c>
      <c r="M333" s="399"/>
      <c r="N333" s="256">
        <f>N332</f>
        <v>-1310</v>
      </c>
      <c r="O333" s="256">
        <f>O332-Parametry!P10</f>
        <v>3060</v>
      </c>
      <c r="P333" s="256">
        <f>P332</f>
        <v>-1090</v>
      </c>
      <c r="Q333" s="256">
        <f>O333</f>
        <v>3060</v>
      </c>
      <c r="R333" s="352" t="str">
        <f>R332</f>
        <v>Blachy</v>
      </c>
      <c r="S333" s="256">
        <v>1</v>
      </c>
      <c r="T333" s="285">
        <v>2</v>
      </c>
      <c r="AE333" s="261"/>
    </row>
    <row r="334" spans="3:31" x14ac:dyDescent="0.25">
      <c r="C334" s="403"/>
      <c r="D334" s="256">
        <v>-97.2</v>
      </c>
      <c r="E334" s="256">
        <v>3030</v>
      </c>
      <c r="F334" s="256">
        <v>-97.2</v>
      </c>
      <c r="G334" s="256">
        <v>3018</v>
      </c>
      <c r="H334" s="256" t="s">
        <v>15</v>
      </c>
      <c r="I334" s="261">
        <v>1</v>
      </c>
      <c r="M334" s="399"/>
      <c r="N334" s="256">
        <f>N333</f>
        <v>-1310</v>
      </c>
      <c r="O334" s="256">
        <f>O332</f>
        <v>3080</v>
      </c>
      <c r="P334" s="256">
        <f>N334</f>
        <v>-1310</v>
      </c>
      <c r="Q334" s="256">
        <f>Q333</f>
        <v>3060</v>
      </c>
      <c r="R334" s="352" t="str">
        <f>R332</f>
        <v>Blachy</v>
      </c>
      <c r="S334" s="256">
        <v>1</v>
      </c>
      <c r="T334" s="285">
        <v>2</v>
      </c>
      <c r="AE334" s="261"/>
    </row>
    <row r="335" spans="3:31" ht="15.75" thickBot="1" x14ac:dyDescent="0.3">
      <c r="C335" s="403"/>
      <c r="D335" s="256">
        <v>-97.2</v>
      </c>
      <c r="E335" s="256">
        <v>3018</v>
      </c>
      <c r="F335" s="256">
        <v>-95.2</v>
      </c>
      <c r="G335" s="256">
        <v>3016</v>
      </c>
      <c r="H335" s="256" t="s">
        <v>15</v>
      </c>
      <c r="I335" s="261">
        <v>1</v>
      </c>
      <c r="M335" s="400"/>
      <c r="N335" s="264">
        <f>P333</f>
        <v>-1090</v>
      </c>
      <c r="O335" s="264">
        <f>O334</f>
        <v>3080</v>
      </c>
      <c r="P335" s="264">
        <f>N335</f>
        <v>-1090</v>
      </c>
      <c r="Q335" s="264">
        <f>Q334</f>
        <v>3060</v>
      </c>
      <c r="R335" s="353" t="str">
        <f>R332</f>
        <v>Blachy</v>
      </c>
      <c r="S335" s="264">
        <v>1</v>
      </c>
      <c r="T335" s="309">
        <v>2</v>
      </c>
      <c r="AE335" s="261"/>
    </row>
    <row r="336" spans="3:31" ht="15" customHeight="1" x14ac:dyDescent="0.25">
      <c r="C336" s="403"/>
      <c r="D336" s="256">
        <v>-62.8</v>
      </c>
      <c r="E336" s="256">
        <v>3018</v>
      </c>
      <c r="F336" s="256">
        <v>-64.8</v>
      </c>
      <c r="G336" s="256">
        <v>3016</v>
      </c>
      <c r="H336" s="256" t="s">
        <v>15</v>
      </c>
      <c r="I336" s="261">
        <v>1</v>
      </c>
      <c r="M336" s="402" t="s">
        <v>440</v>
      </c>
      <c r="N336" s="258">
        <f>N327</f>
        <v>-1360</v>
      </c>
      <c r="O336" s="258">
        <f>Q331</f>
        <v>3050</v>
      </c>
      <c r="P336" s="258">
        <f>P327</f>
        <v>-1040</v>
      </c>
      <c r="Q336" s="258">
        <f>O336</f>
        <v>3050</v>
      </c>
      <c r="R336" s="258" t="s">
        <v>14</v>
      </c>
      <c r="S336" s="258">
        <v>1</v>
      </c>
      <c r="T336" s="295">
        <v>3</v>
      </c>
      <c r="AE336" s="261"/>
    </row>
    <row r="337" spans="3:31" x14ac:dyDescent="0.25">
      <c r="C337" s="403"/>
      <c r="D337" s="256">
        <v>-95.2</v>
      </c>
      <c r="E337" s="256">
        <v>3016</v>
      </c>
      <c r="F337" s="256">
        <v>-64.8</v>
      </c>
      <c r="G337" s="256">
        <v>3016</v>
      </c>
      <c r="H337" s="256" t="s">
        <v>15</v>
      </c>
      <c r="I337" s="261">
        <v>1</v>
      </c>
      <c r="M337" s="403"/>
      <c r="N337" s="256">
        <f>N327</f>
        <v>-1360</v>
      </c>
      <c r="O337" s="256">
        <f>O329</f>
        <v>3050</v>
      </c>
      <c r="P337" s="256">
        <f>N337</f>
        <v>-1360</v>
      </c>
      <c r="Q337" s="256">
        <f>O337-Parametry!P9</f>
        <v>3034</v>
      </c>
      <c r="R337" s="352" t="str">
        <f>R336</f>
        <v>Słup</v>
      </c>
      <c r="S337" s="256">
        <v>1</v>
      </c>
      <c r="T337" s="285">
        <v>3</v>
      </c>
      <c r="AE337" s="261"/>
    </row>
    <row r="338" spans="3:31" x14ac:dyDescent="0.25">
      <c r="C338" s="403"/>
      <c r="D338" s="256">
        <v>-88.6</v>
      </c>
      <c r="E338" s="256">
        <v>3032</v>
      </c>
      <c r="F338" s="256">
        <v>-88.6</v>
      </c>
      <c r="G338" s="256">
        <v>3016</v>
      </c>
      <c r="H338" s="256" t="s">
        <v>15</v>
      </c>
      <c r="I338" s="261">
        <v>1</v>
      </c>
      <c r="M338" s="403"/>
      <c r="N338" s="256">
        <f>P327</f>
        <v>-1040</v>
      </c>
      <c r="O338" s="256">
        <f>O337</f>
        <v>3050</v>
      </c>
      <c r="P338" s="256">
        <f>N338</f>
        <v>-1040</v>
      </c>
      <c r="Q338" s="256">
        <f>Q337</f>
        <v>3034</v>
      </c>
      <c r="R338" s="352" t="str">
        <f>R336</f>
        <v>Słup</v>
      </c>
      <c r="S338" s="256">
        <v>1</v>
      </c>
      <c r="T338" s="285">
        <v>3</v>
      </c>
      <c r="AE338" s="261"/>
    </row>
    <row r="339" spans="3:31" ht="15.75" thickBot="1" x14ac:dyDescent="0.3">
      <c r="C339" s="403"/>
      <c r="D339" s="256">
        <v>-71.400000000000006</v>
      </c>
      <c r="E339" s="256">
        <v>3032</v>
      </c>
      <c r="F339" s="256">
        <v>-71.400000000000006</v>
      </c>
      <c r="G339" s="256">
        <v>3016</v>
      </c>
      <c r="H339" s="256" t="s">
        <v>15</v>
      </c>
      <c r="I339" s="261">
        <v>1</v>
      </c>
      <c r="M339" s="404"/>
      <c r="N339" s="264" cm="1">
        <f t="array" ref="N339:O339">P337:Q337</f>
        <v>-1360</v>
      </c>
      <c r="O339" s="264">
        <v>3034</v>
      </c>
      <c r="P339" s="264" cm="1">
        <f t="array" ref="P339:Q339">P338:Q338</f>
        <v>-1040</v>
      </c>
      <c r="Q339" s="264">
        <v>3034</v>
      </c>
      <c r="R339" s="353" t="str">
        <f>R336</f>
        <v>Słup</v>
      </c>
      <c r="S339" s="264">
        <v>1</v>
      </c>
      <c r="T339" s="309">
        <v>3</v>
      </c>
      <c r="AE339" s="261"/>
    </row>
    <row r="340" spans="3:31" x14ac:dyDescent="0.25">
      <c r="C340" s="403"/>
      <c r="D340" s="256">
        <v>-90</v>
      </c>
      <c r="E340" s="256">
        <v>3016</v>
      </c>
      <c r="F340" s="256">
        <v>-90</v>
      </c>
      <c r="G340" s="256">
        <v>3012.5</v>
      </c>
      <c r="H340" s="256" t="s">
        <v>15</v>
      </c>
      <c r="I340" s="261">
        <v>1</v>
      </c>
      <c r="M340" s="402" t="s">
        <v>441</v>
      </c>
      <c r="N340" s="258">
        <f>N322-Parametry!R14/2</f>
        <v>-1205.5</v>
      </c>
      <c r="O340" s="258">
        <f>O339</f>
        <v>3034</v>
      </c>
      <c r="P340" s="258">
        <f>N340</f>
        <v>-1205.5</v>
      </c>
      <c r="Q340" s="258">
        <f>O323</f>
        <v>2394</v>
      </c>
      <c r="R340" s="258" t="s">
        <v>14</v>
      </c>
      <c r="S340" s="258">
        <v>1</v>
      </c>
      <c r="T340" s="295">
        <v>4</v>
      </c>
      <c r="AE340" s="261"/>
    </row>
    <row r="341" spans="3:31" x14ac:dyDescent="0.25">
      <c r="C341" s="403"/>
      <c r="D341" s="256">
        <v>-70</v>
      </c>
      <c r="E341" s="256">
        <v>3016</v>
      </c>
      <c r="F341" s="256">
        <v>-70</v>
      </c>
      <c r="G341" s="256">
        <v>3012.5</v>
      </c>
      <c r="H341" s="256" t="s">
        <v>15</v>
      </c>
      <c r="I341" s="261">
        <v>1</v>
      </c>
      <c r="M341" s="403"/>
      <c r="N341" s="256">
        <f>N322+Parametry!R14/2</f>
        <v>-1194.5</v>
      </c>
      <c r="O341" s="256">
        <f>O340</f>
        <v>3034</v>
      </c>
      <c r="P341" s="256">
        <f>N341</f>
        <v>-1194.5</v>
      </c>
      <c r="Q341" s="256">
        <f>Q340</f>
        <v>2394</v>
      </c>
      <c r="R341" s="352" t="str">
        <f>R340</f>
        <v>Słup</v>
      </c>
      <c r="S341" s="256">
        <v>1</v>
      </c>
      <c r="T341" s="285">
        <v>4</v>
      </c>
      <c r="AE341" s="261"/>
    </row>
    <row r="342" spans="3:31" x14ac:dyDescent="0.25">
      <c r="C342" s="403"/>
      <c r="D342" s="256">
        <v>-90</v>
      </c>
      <c r="E342" s="256">
        <v>3012.5</v>
      </c>
      <c r="F342" s="256">
        <v>-88</v>
      </c>
      <c r="G342" s="256">
        <v>3010.5</v>
      </c>
      <c r="H342" s="256" t="s">
        <v>15</v>
      </c>
      <c r="I342" s="261">
        <v>1</v>
      </c>
      <c r="M342" s="403"/>
      <c r="N342" s="256" cm="1">
        <f t="array" ref="N342:O342">N340:O340</f>
        <v>-1205.5</v>
      </c>
      <c r="O342" s="256">
        <v>3034</v>
      </c>
      <c r="P342" s="256" cm="1">
        <f t="array" ref="P342:Q342">N341:O341</f>
        <v>-1194.5</v>
      </c>
      <c r="Q342" s="256">
        <v>3034</v>
      </c>
      <c r="R342" s="352" t="str">
        <f>R340</f>
        <v>Słup</v>
      </c>
      <c r="S342" s="256">
        <v>1</v>
      </c>
      <c r="T342" s="285">
        <v>4</v>
      </c>
      <c r="AE342" s="261"/>
    </row>
    <row r="343" spans="3:31" ht="15.75" thickBot="1" x14ac:dyDescent="0.3">
      <c r="C343" s="403"/>
      <c r="D343" s="256">
        <v>-70</v>
      </c>
      <c r="E343" s="256">
        <v>3012.5</v>
      </c>
      <c r="F343" s="256">
        <v>-72</v>
      </c>
      <c r="G343" s="256">
        <v>3010.5</v>
      </c>
      <c r="H343" s="256" t="s">
        <v>15</v>
      </c>
      <c r="I343" s="261">
        <v>1</v>
      </c>
      <c r="M343" s="404"/>
      <c r="N343" s="264" cm="1">
        <f t="array" ref="N343:O343">P340:Q340</f>
        <v>-1205.5</v>
      </c>
      <c r="O343" s="264">
        <v>2394</v>
      </c>
      <c r="P343" s="264" cm="1">
        <f t="array" ref="P343:Q343">P341:Q341</f>
        <v>-1194.5</v>
      </c>
      <c r="Q343" s="264">
        <v>2394</v>
      </c>
      <c r="R343" s="353" t="str">
        <f>R340</f>
        <v>Słup</v>
      </c>
      <c r="S343" s="264">
        <v>1</v>
      </c>
      <c r="T343" s="309">
        <v>4</v>
      </c>
      <c r="AE343" s="261"/>
    </row>
    <row r="344" spans="3:31" x14ac:dyDescent="0.25">
      <c r="C344" s="403"/>
      <c r="D344" s="256">
        <v>-88</v>
      </c>
      <c r="E344" s="256">
        <v>3010.5</v>
      </c>
      <c r="F344" s="256">
        <v>-72</v>
      </c>
      <c r="G344" s="256">
        <v>3010.5</v>
      </c>
      <c r="H344" s="256" t="s">
        <v>15</v>
      </c>
      <c r="I344" s="261">
        <v>1</v>
      </c>
      <c r="M344" s="391" t="s">
        <v>442</v>
      </c>
      <c r="N344" s="258">
        <f>N339</f>
        <v>-1360</v>
      </c>
      <c r="O344" s="258">
        <f>O340</f>
        <v>3034</v>
      </c>
      <c r="P344" s="258">
        <f>N344</f>
        <v>-1360</v>
      </c>
      <c r="Q344" s="258">
        <f>O344-Parametry!S12</f>
        <v>2974</v>
      </c>
      <c r="R344" s="258" t="s">
        <v>14</v>
      </c>
      <c r="S344" s="258">
        <v>1</v>
      </c>
      <c r="T344" s="295"/>
      <c r="AE344" s="261"/>
    </row>
    <row r="345" spans="3:31" ht="15.75" thickBot="1" x14ac:dyDescent="0.3">
      <c r="C345" s="404"/>
      <c r="D345" s="264">
        <v>-80</v>
      </c>
      <c r="E345" s="264">
        <v>3135.5</v>
      </c>
      <c r="F345" s="264">
        <v>-80</v>
      </c>
      <c r="G345" s="264">
        <v>2985.5</v>
      </c>
      <c r="H345" s="264" t="s">
        <v>372</v>
      </c>
      <c r="I345" s="265">
        <v>1.5</v>
      </c>
      <c r="M345" s="399"/>
      <c r="N345" s="256">
        <f>P339</f>
        <v>-1040</v>
      </c>
      <c r="O345" s="256">
        <f>O344</f>
        <v>3034</v>
      </c>
      <c r="P345" s="256">
        <f>N345</f>
        <v>-1040</v>
      </c>
      <c r="Q345" s="256">
        <f>Q344</f>
        <v>2974</v>
      </c>
      <c r="R345" s="256" t="s">
        <v>14</v>
      </c>
      <c r="S345" s="256">
        <v>1</v>
      </c>
      <c r="T345" s="285"/>
      <c r="AE345" s="261"/>
    </row>
    <row r="346" spans="3:31" x14ac:dyDescent="0.25">
      <c r="C346" s="402" t="s">
        <v>373</v>
      </c>
      <c r="D346" s="258" cm="1">
        <f t="array" ref="D346:D377">R232+M225:M256</f>
        <v>64.8</v>
      </c>
      <c r="E346" s="258" cm="1">
        <f t="array" ref="E346:E377">S232+N225:N256</f>
        <v>3110.5</v>
      </c>
      <c r="F346" s="258" cm="1">
        <f t="array" ref="F346:F377">R232+O225:O256</f>
        <v>95.2</v>
      </c>
      <c r="G346" s="258" cm="1">
        <f t="array" ref="G346:G377">S232+P225:P256</f>
        <v>3110.5</v>
      </c>
      <c r="H346" s="258" t="s">
        <v>15</v>
      </c>
      <c r="I346" s="259">
        <v>1</v>
      </c>
      <c r="M346" s="399"/>
      <c r="N346" s="256">
        <f>N322-Parametry!T12/2</f>
        <v>-1230</v>
      </c>
      <c r="O346" s="256">
        <f>O345-Parametry!R12</f>
        <v>2714</v>
      </c>
      <c r="P346" s="256">
        <f>N340</f>
        <v>-1205.5</v>
      </c>
      <c r="Q346" s="256">
        <f>O346</f>
        <v>2714</v>
      </c>
      <c r="R346" s="256" t="s">
        <v>14</v>
      </c>
      <c r="S346" s="256">
        <v>1</v>
      </c>
      <c r="T346" s="285"/>
      <c r="AE346" s="261"/>
    </row>
    <row r="347" spans="3:31" x14ac:dyDescent="0.25">
      <c r="C347" s="403"/>
      <c r="D347" s="256">
        <v>95.2</v>
      </c>
      <c r="E347" s="256">
        <v>3110.5</v>
      </c>
      <c r="F347" s="256">
        <v>97.2</v>
      </c>
      <c r="G347" s="256">
        <v>3108.5</v>
      </c>
      <c r="H347" s="256" t="s">
        <v>15</v>
      </c>
      <c r="I347" s="261">
        <v>1</v>
      </c>
      <c r="M347" s="399"/>
      <c r="N347" s="256">
        <f>N322+Parametry!T12/2</f>
        <v>-1170</v>
      </c>
      <c r="O347" s="256">
        <f>O346</f>
        <v>2714</v>
      </c>
      <c r="P347" s="256">
        <f>P341</f>
        <v>-1194.5</v>
      </c>
      <c r="Q347" s="256">
        <f>O347</f>
        <v>2714</v>
      </c>
      <c r="R347" s="256" t="s">
        <v>14</v>
      </c>
      <c r="S347" s="256">
        <v>1</v>
      </c>
      <c r="T347" s="285"/>
      <c r="AE347" s="261"/>
    </row>
    <row r="348" spans="3:31" x14ac:dyDescent="0.25">
      <c r="C348" s="403"/>
      <c r="D348" s="256">
        <v>64.8</v>
      </c>
      <c r="E348" s="256">
        <v>3110.5</v>
      </c>
      <c r="F348" s="256">
        <v>62.8</v>
      </c>
      <c r="G348" s="256">
        <v>3108.5</v>
      </c>
      <c r="H348" s="256" t="s">
        <v>15</v>
      </c>
      <c r="I348" s="261">
        <v>1</v>
      </c>
      <c r="M348" s="399"/>
      <c r="N348" s="256" cm="1">
        <f t="array" ref="N348:O348">P346:Q346</f>
        <v>-1205.5</v>
      </c>
      <c r="O348" s="256">
        <v>2714</v>
      </c>
      <c r="P348" s="256" cm="1">
        <f t="array" ref="P348:Q348">P347:Q347</f>
        <v>-1194.5</v>
      </c>
      <c r="Q348" s="256">
        <v>2714</v>
      </c>
      <c r="R348" s="256" t="s">
        <v>427</v>
      </c>
      <c r="S348" s="256">
        <v>1</v>
      </c>
      <c r="T348" s="285"/>
      <c r="AE348" s="261"/>
    </row>
    <row r="349" spans="3:31" ht="15.75" thickBot="1" x14ac:dyDescent="0.3">
      <c r="C349" s="403"/>
      <c r="D349" s="256">
        <v>97.2</v>
      </c>
      <c r="E349" s="256">
        <v>3108.5</v>
      </c>
      <c r="F349" s="256">
        <v>97.2</v>
      </c>
      <c r="G349" s="256">
        <v>3098</v>
      </c>
      <c r="H349" s="256" t="s">
        <v>15</v>
      </c>
      <c r="I349" s="261">
        <v>1</v>
      </c>
      <c r="M349" s="399"/>
      <c r="N349" s="256" cm="1">
        <f t="array" ref="N349:O349">N346:O346</f>
        <v>-1230</v>
      </c>
      <c r="O349" s="256">
        <v>2714</v>
      </c>
      <c r="P349" s="256" cm="1">
        <f t="array" ref="P349:Q349">P344:Q344</f>
        <v>-1360</v>
      </c>
      <c r="Q349" s="256">
        <v>2974</v>
      </c>
      <c r="R349" s="256" t="s">
        <v>14</v>
      </c>
      <c r="S349" s="256">
        <v>1</v>
      </c>
      <c r="T349" s="285"/>
      <c r="AE349" s="261"/>
    </row>
    <row r="350" spans="3:31" ht="15.75" thickBot="1" x14ac:dyDescent="0.3">
      <c r="C350" s="403"/>
      <c r="D350" s="256">
        <v>62.8</v>
      </c>
      <c r="E350" s="256">
        <v>3108.5</v>
      </c>
      <c r="F350" s="256">
        <v>62.8</v>
      </c>
      <c r="G350" s="256">
        <v>3098</v>
      </c>
      <c r="H350" s="256" t="s">
        <v>15</v>
      </c>
      <c r="I350" s="261">
        <v>1</v>
      </c>
      <c r="M350" s="400"/>
      <c r="N350" s="264" cm="1">
        <f t="array" ref="N350:O350">P345:Q345</f>
        <v>-1040</v>
      </c>
      <c r="O350" s="264">
        <v>2974</v>
      </c>
      <c r="P350" s="264" cm="1">
        <f t="array" ref="P350:Q350">N347:O347</f>
        <v>-1170</v>
      </c>
      <c r="Q350" s="264">
        <v>2714</v>
      </c>
      <c r="R350" s="264" t="s">
        <v>14</v>
      </c>
      <c r="S350" s="264">
        <v>1</v>
      </c>
      <c r="T350" s="309"/>
      <c r="V350" s="344"/>
      <c r="W350" s="345" t="s">
        <v>170</v>
      </c>
      <c r="X350" s="346" t="s">
        <v>67</v>
      </c>
      <c r="AE350" s="261"/>
    </row>
    <row r="351" spans="3:31" x14ac:dyDescent="0.25">
      <c r="C351" s="403"/>
      <c r="D351" s="256">
        <v>57.8</v>
      </c>
      <c r="E351" s="256">
        <v>3098</v>
      </c>
      <c r="F351" s="256">
        <v>102.2</v>
      </c>
      <c r="G351" s="256">
        <v>3098</v>
      </c>
      <c r="H351" s="256" t="s">
        <v>15</v>
      </c>
      <c r="I351" s="261">
        <v>1</v>
      </c>
      <c r="M351" s="399" t="s">
        <v>443</v>
      </c>
      <c r="N351" s="256">
        <f>W351</f>
        <v>-1350</v>
      </c>
      <c r="O351" s="256">
        <f>X353</f>
        <v>3034</v>
      </c>
      <c r="P351" s="256" cm="1">
        <f t="array" ref="P351:Q351">W357:X357</f>
        <v>-1350</v>
      </c>
      <c r="Q351" s="256">
        <v>2954</v>
      </c>
      <c r="R351" s="256" t="s">
        <v>427</v>
      </c>
      <c r="S351" s="256">
        <v>3</v>
      </c>
      <c r="T351" s="285"/>
      <c r="V351" s="347" t="s">
        <v>444</v>
      </c>
      <c r="W351" s="281">
        <f>N322-Parametry!Q14/2</f>
        <v>-1350</v>
      </c>
      <c r="X351" s="348" t="s">
        <v>265</v>
      </c>
      <c r="AE351" s="261"/>
    </row>
    <row r="352" spans="3:31" x14ac:dyDescent="0.25">
      <c r="C352" s="403"/>
      <c r="D352" s="256">
        <v>57.8</v>
      </c>
      <c r="E352" s="256">
        <v>3098</v>
      </c>
      <c r="F352" s="256">
        <v>57.8</v>
      </c>
      <c r="G352" s="256">
        <v>3096</v>
      </c>
      <c r="H352" s="256" t="s">
        <v>15</v>
      </c>
      <c r="I352" s="261">
        <v>1</v>
      </c>
      <c r="M352" s="399"/>
      <c r="N352" s="256">
        <f>W352</f>
        <v>-1050</v>
      </c>
      <c r="O352" s="256">
        <f>X353</f>
        <v>3034</v>
      </c>
      <c r="P352" s="256" cm="1">
        <f t="array" ref="P352:Q352">W358:X358</f>
        <v>-1050</v>
      </c>
      <c r="Q352" s="256">
        <v>2954</v>
      </c>
      <c r="R352" s="256" t="s">
        <v>427</v>
      </c>
      <c r="S352" s="256">
        <v>3</v>
      </c>
      <c r="T352" s="285"/>
      <c r="V352" s="347" t="s">
        <v>445</v>
      </c>
      <c r="W352" s="281">
        <f>N322+Parametry!Q14/2</f>
        <v>-1050</v>
      </c>
      <c r="X352" s="348" t="s">
        <v>265</v>
      </c>
      <c r="AE352" s="261"/>
    </row>
    <row r="353" spans="3:31" ht="45" x14ac:dyDescent="0.25">
      <c r="C353" s="403"/>
      <c r="D353" s="256">
        <v>102.2</v>
      </c>
      <c r="E353" s="256">
        <v>3098</v>
      </c>
      <c r="F353" s="256">
        <v>102.2</v>
      </c>
      <c r="G353" s="256">
        <v>3096</v>
      </c>
      <c r="H353" s="256" t="s">
        <v>15</v>
      </c>
      <c r="I353" s="261">
        <v>1</v>
      </c>
      <c r="M353" s="399"/>
      <c r="N353" s="256" cm="1">
        <f t="array" ref="N353:O353">W357:X357</f>
        <v>-1350</v>
      </c>
      <c r="O353" s="256">
        <v>2954</v>
      </c>
      <c r="P353" s="256">
        <f>N353</f>
        <v>-1350</v>
      </c>
      <c r="Q353" s="256">
        <f>Q343</f>
        <v>2394</v>
      </c>
      <c r="R353" s="256" t="s">
        <v>14</v>
      </c>
      <c r="S353" s="256">
        <v>1</v>
      </c>
      <c r="T353" s="285"/>
      <c r="V353" s="347" t="s">
        <v>446</v>
      </c>
      <c r="W353" s="343" t="s">
        <v>265</v>
      </c>
      <c r="X353" s="322">
        <f>O339</f>
        <v>3034</v>
      </c>
      <c r="AE353" s="261"/>
    </row>
    <row r="354" spans="3:31" ht="30.75" thickBot="1" x14ac:dyDescent="0.3">
      <c r="C354" s="403"/>
      <c r="D354" s="256">
        <v>57.8</v>
      </c>
      <c r="E354" s="256">
        <v>3096</v>
      </c>
      <c r="F354" s="256">
        <v>102.2</v>
      </c>
      <c r="G354" s="256">
        <v>3096</v>
      </c>
      <c r="H354" s="256" t="s">
        <v>15</v>
      </c>
      <c r="I354" s="261">
        <v>1</v>
      </c>
      <c r="M354" s="399"/>
      <c r="N354" s="256" cm="1">
        <f t="array" ref="N354:O354">W358:X358</f>
        <v>-1050</v>
      </c>
      <c r="O354" s="256">
        <v>2954</v>
      </c>
      <c r="P354" s="256">
        <f>N354</f>
        <v>-1050</v>
      </c>
      <c r="Q354" s="256">
        <f>Q353</f>
        <v>2394</v>
      </c>
      <c r="R354" s="256" t="s">
        <v>14</v>
      </c>
      <c r="S354" s="256">
        <v>1</v>
      </c>
      <c r="T354" s="285"/>
      <c r="V354" s="347" t="s">
        <v>447</v>
      </c>
      <c r="W354" s="281">
        <f>(Q349-O349)/(P349-N349)</f>
        <v>-2</v>
      </c>
      <c r="X354" s="322">
        <f>Q349-W354*P349</f>
        <v>254</v>
      </c>
      <c r="AE354" s="261"/>
    </row>
    <row r="355" spans="3:31" ht="30" x14ac:dyDescent="0.25">
      <c r="C355" s="403"/>
      <c r="D355" s="256">
        <v>71.400000000000006</v>
      </c>
      <c r="E355" s="256">
        <v>3110.5</v>
      </c>
      <c r="F355" s="256">
        <v>71.400000000000006</v>
      </c>
      <c r="G355" s="256">
        <v>3098</v>
      </c>
      <c r="H355" s="256" t="s">
        <v>15</v>
      </c>
      <c r="I355" s="261">
        <v>1</v>
      </c>
      <c r="M355" s="391" t="s">
        <v>453</v>
      </c>
      <c r="N355" s="258">
        <f>N322-Parametry!O35/2</f>
        <v>-1203</v>
      </c>
      <c r="O355" s="258">
        <f>O324</f>
        <v>3096</v>
      </c>
      <c r="P355" s="258">
        <f>N322+Parametry!O35/2</f>
        <v>-1197</v>
      </c>
      <c r="Q355" s="258">
        <f>O355</f>
        <v>3096</v>
      </c>
      <c r="R355" s="258" t="s">
        <v>5</v>
      </c>
      <c r="S355" s="258">
        <v>1</v>
      </c>
      <c r="T355" s="295">
        <v>5</v>
      </c>
      <c r="V355" s="347" t="s">
        <v>448</v>
      </c>
      <c r="W355" s="281">
        <f>(Q350-O350)/(P350-N350)</f>
        <v>2</v>
      </c>
      <c r="X355" s="322">
        <f>Q350-W355*P350</f>
        <v>5054</v>
      </c>
      <c r="AE355" s="261"/>
    </row>
    <row r="356" spans="3:31" x14ac:dyDescent="0.25">
      <c r="C356" s="403"/>
      <c r="D356" s="256">
        <v>88.6</v>
      </c>
      <c r="E356" s="256">
        <v>3110.5</v>
      </c>
      <c r="F356" s="256">
        <v>88.6</v>
      </c>
      <c r="G356" s="256">
        <v>3098</v>
      </c>
      <c r="H356" s="256" t="s">
        <v>15</v>
      </c>
      <c r="I356" s="261">
        <v>1</v>
      </c>
      <c r="M356" s="399"/>
      <c r="N356" s="256" cm="1">
        <f t="array" ref="N356:O356">N355:O355</f>
        <v>-1203</v>
      </c>
      <c r="O356" s="256">
        <v>3096</v>
      </c>
      <c r="P356" s="256">
        <f>N356</f>
        <v>-1203</v>
      </c>
      <c r="Q356" s="256">
        <f>O22</f>
        <v>3373.8140275378728</v>
      </c>
      <c r="R356" s="352" t="str">
        <f>$R$355</f>
        <v>Blachy</v>
      </c>
      <c r="S356" s="256">
        <v>1</v>
      </c>
      <c r="T356" s="285">
        <v>5</v>
      </c>
      <c r="V356" s="321"/>
      <c r="W356" s="342" t="s">
        <v>83</v>
      </c>
      <c r="X356" s="349" t="s">
        <v>84</v>
      </c>
      <c r="AE356" s="261"/>
    </row>
    <row r="357" spans="3:31" x14ac:dyDescent="0.25">
      <c r="C357" s="403"/>
      <c r="D357" s="256">
        <v>70</v>
      </c>
      <c r="E357" s="256">
        <v>3096</v>
      </c>
      <c r="F357" s="256">
        <v>70</v>
      </c>
      <c r="G357" s="256">
        <v>3034</v>
      </c>
      <c r="H357" s="256" t="s">
        <v>371</v>
      </c>
      <c r="I357" s="261">
        <v>1.5</v>
      </c>
      <c r="M357" s="399"/>
      <c r="N357" s="256" cm="1">
        <f t="array" ref="N357:O357">P355:Q355</f>
        <v>-1197</v>
      </c>
      <c r="O357" s="256">
        <v>3096</v>
      </c>
      <c r="P357" s="256">
        <f>N357</f>
        <v>-1197</v>
      </c>
      <c r="Q357" s="256">
        <f>Q356</f>
        <v>3373.8140275378728</v>
      </c>
      <c r="R357" s="352" t="str">
        <f t="shared" ref="R357:R358" si="71">$R$355</f>
        <v>Blachy</v>
      </c>
      <c r="S357" s="256">
        <v>1</v>
      </c>
      <c r="T357" s="285">
        <v>5</v>
      </c>
      <c r="V357" s="323" t="s">
        <v>449</v>
      </c>
      <c r="W357" s="281">
        <f>W351</f>
        <v>-1350</v>
      </c>
      <c r="X357" s="322">
        <f>W357*W354+X354</f>
        <v>2954</v>
      </c>
      <c r="AE357" s="261"/>
    </row>
    <row r="358" spans="3:31" ht="15.75" thickBot="1" x14ac:dyDescent="0.3">
      <c r="C358" s="403"/>
      <c r="D358" s="256">
        <v>90</v>
      </c>
      <c r="E358" s="256">
        <v>3096</v>
      </c>
      <c r="F358" s="256">
        <v>90</v>
      </c>
      <c r="G358" s="256">
        <v>3034</v>
      </c>
      <c r="H358" s="256" t="s">
        <v>371</v>
      </c>
      <c r="I358" s="261">
        <v>1.5</v>
      </c>
      <c r="M358" s="400"/>
      <c r="N358" s="264" cm="1">
        <f t="array" ref="N358:O358">P356:Q356</f>
        <v>-1203</v>
      </c>
      <c r="O358" s="264">
        <v>3373.8140275378728</v>
      </c>
      <c r="P358" s="264" cm="1">
        <f t="array" ref="P358:Q358">P357:Q357</f>
        <v>-1197</v>
      </c>
      <c r="Q358" s="264">
        <v>3373.8140275378728</v>
      </c>
      <c r="R358" s="353" t="str">
        <f t="shared" si="71"/>
        <v>Blachy</v>
      </c>
      <c r="S358" s="264">
        <v>1</v>
      </c>
      <c r="T358" s="309">
        <v>5</v>
      </c>
      <c r="V358" s="325" t="s">
        <v>450</v>
      </c>
      <c r="W358" s="350">
        <f>W352</f>
        <v>-1050</v>
      </c>
      <c r="X358" s="351">
        <f>W358*W355+X355</f>
        <v>2954</v>
      </c>
      <c r="AE358" s="261"/>
    </row>
    <row r="359" spans="3:31" ht="15.75" thickBot="1" x14ac:dyDescent="0.3">
      <c r="C359" s="403"/>
      <c r="D359" s="256">
        <v>57.8</v>
      </c>
      <c r="E359" s="256">
        <v>3034</v>
      </c>
      <c r="F359" s="256">
        <v>102.2</v>
      </c>
      <c r="G359" s="256">
        <v>3034</v>
      </c>
      <c r="H359" s="256" t="s">
        <v>15</v>
      </c>
      <c r="I359" s="261">
        <v>1</v>
      </c>
      <c r="M359" s="391" t="s">
        <v>454</v>
      </c>
      <c r="N359" s="258" cm="1">
        <f t="array" ref="N359:Q370">AA362:AD373</f>
        <v>-1197</v>
      </c>
      <c r="O359" s="258">
        <v>3397.8140275378728</v>
      </c>
      <c r="P359" s="258">
        <v>-1197</v>
      </c>
      <c r="Q359" s="258">
        <v>3501.8140275378728</v>
      </c>
      <c r="R359" s="258" t="s">
        <v>11</v>
      </c>
      <c r="S359" s="258">
        <v>1</v>
      </c>
      <c r="T359" s="295">
        <v>6</v>
      </c>
      <c r="AE359" s="261"/>
    </row>
    <row r="360" spans="3:31" x14ac:dyDescent="0.25">
      <c r="C360" s="403"/>
      <c r="D360" s="256">
        <v>57.8</v>
      </c>
      <c r="E360" s="256">
        <v>3034</v>
      </c>
      <c r="F360" s="256">
        <v>57.8</v>
      </c>
      <c r="G360" s="256">
        <v>3032</v>
      </c>
      <c r="H360" s="256" t="s">
        <v>15</v>
      </c>
      <c r="I360" s="261">
        <v>1</v>
      </c>
      <c r="M360" s="399"/>
      <c r="N360" s="256">
        <v>-1182</v>
      </c>
      <c r="O360" s="256">
        <v>3516.8140275378728</v>
      </c>
      <c r="P360" s="256">
        <v>-1120</v>
      </c>
      <c r="Q360" s="256">
        <v>3516.8140275378728</v>
      </c>
      <c r="R360" s="352" t="str">
        <f>$R$359</f>
        <v>Przekroje</v>
      </c>
      <c r="S360" s="256">
        <v>1</v>
      </c>
      <c r="T360" s="285">
        <v>6</v>
      </c>
      <c r="V360" s="391" t="s">
        <v>455</v>
      </c>
      <c r="W360" s="392"/>
      <c r="X360" s="392"/>
      <c r="Y360" s="393"/>
      <c r="Z360" s="258"/>
      <c r="AA360" s="391" t="s">
        <v>456</v>
      </c>
      <c r="AB360" s="392"/>
      <c r="AC360" s="290">
        <f>N322</f>
        <v>-1200</v>
      </c>
      <c r="AD360" s="291">
        <f>Q358+Parametry!F30/2</f>
        <v>3449.8140275378728</v>
      </c>
      <c r="AE360" s="259"/>
    </row>
    <row r="361" spans="3:31" x14ac:dyDescent="0.25">
      <c r="C361" s="403"/>
      <c r="D361" s="256">
        <v>102.2</v>
      </c>
      <c r="E361" s="256">
        <v>3034</v>
      </c>
      <c r="F361" s="256">
        <v>102.2</v>
      </c>
      <c r="G361" s="256">
        <v>3032</v>
      </c>
      <c r="H361" s="256" t="s">
        <v>15</v>
      </c>
      <c r="I361" s="261">
        <v>1</v>
      </c>
      <c r="M361" s="399"/>
      <c r="N361" s="256">
        <v>-1120</v>
      </c>
      <c r="O361" s="256">
        <v>3516.8140275378728</v>
      </c>
      <c r="P361" s="256">
        <v>-1120</v>
      </c>
      <c r="Q361" s="256">
        <v>3525.8140275378728</v>
      </c>
      <c r="R361" s="352" t="str">
        <f t="shared" ref="R361:R370" si="72">$R$359</f>
        <v>Przekroje</v>
      </c>
      <c r="S361" s="256">
        <v>1</v>
      </c>
      <c r="T361" s="285">
        <v>6</v>
      </c>
      <c r="V361" s="260" t="str" cm="1">
        <f t="array" ref="V361:Y373">AF9:AI21</f>
        <v>x</v>
      </c>
      <c r="W361" s="256" t="str">
        <v>y</v>
      </c>
      <c r="X361" s="256" t="str">
        <v>x</v>
      </c>
      <c r="Y361" s="261" t="str">
        <v>y</v>
      </c>
      <c r="AA361" s="260" t="s">
        <v>83</v>
      </c>
      <c r="AB361" s="256" t="s">
        <v>84</v>
      </c>
      <c r="AC361" s="256" t="s">
        <v>83</v>
      </c>
      <c r="AD361" s="261" t="s">
        <v>84</v>
      </c>
      <c r="AE361" s="261"/>
    </row>
    <row r="362" spans="3:31" x14ac:dyDescent="0.25">
      <c r="C362" s="403"/>
      <c r="D362" s="256">
        <v>57.8</v>
      </c>
      <c r="E362" s="256">
        <v>3032</v>
      </c>
      <c r="F362" s="256">
        <v>102.2</v>
      </c>
      <c r="G362" s="256">
        <v>3032</v>
      </c>
      <c r="H362" s="256" t="s">
        <v>15</v>
      </c>
      <c r="I362" s="261">
        <v>1</v>
      </c>
      <c r="M362" s="399"/>
      <c r="N362" s="256">
        <v>-1120</v>
      </c>
      <c r="O362" s="256">
        <v>3525.8140275378728</v>
      </c>
      <c r="P362" s="256">
        <v>-1280</v>
      </c>
      <c r="Q362" s="256">
        <v>3525.8140275378728</v>
      </c>
      <c r="R362" s="352" t="str">
        <f t="shared" si="72"/>
        <v>Przekroje</v>
      </c>
      <c r="S362" s="256">
        <v>1</v>
      </c>
      <c r="T362" s="285">
        <v>6</v>
      </c>
      <c r="V362" s="260">
        <v>3</v>
      </c>
      <c r="W362" s="256">
        <v>-52</v>
      </c>
      <c r="X362" s="256">
        <v>3</v>
      </c>
      <c r="Y362" s="261">
        <v>52</v>
      </c>
      <c r="AA362" s="260" cm="1">
        <f t="array" ref="AA362:AA373">AC360+V362:V373</f>
        <v>-1197</v>
      </c>
      <c r="AB362" s="256" cm="1">
        <f t="array" ref="AB362:AB373">AD360+W362:W373</f>
        <v>3397.8140275378728</v>
      </c>
      <c r="AC362" s="256" cm="1">
        <f t="array" ref="AC362:AC373">AC360+X362:X373</f>
        <v>-1197</v>
      </c>
      <c r="AD362" s="261" cm="1">
        <f t="array" ref="AD362:AD373">AD360+Y362:Y373</f>
        <v>3501.8140275378728</v>
      </c>
      <c r="AE362" s="261"/>
    </row>
    <row r="363" spans="3:31" x14ac:dyDescent="0.25">
      <c r="C363" s="403"/>
      <c r="D363" s="256">
        <v>64.8</v>
      </c>
      <c r="E363" s="256">
        <v>3032</v>
      </c>
      <c r="F363" s="256">
        <v>62.8</v>
      </c>
      <c r="G363" s="256">
        <v>3030</v>
      </c>
      <c r="H363" s="256" t="s">
        <v>15</v>
      </c>
      <c r="I363" s="261">
        <v>1</v>
      </c>
      <c r="M363" s="399"/>
      <c r="N363" s="256">
        <v>-1280</v>
      </c>
      <c r="O363" s="256">
        <v>3525.8140275378728</v>
      </c>
      <c r="P363" s="256">
        <v>-1280</v>
      </c>
      <c r="Q363" s="256">
        <v>3516.8140275378728</v>
      </c>
      <c r="R363" s="352" t="str">
        <f t="shared" si="72"/>
        <v>Przekroje</v>
      </c>
      <c r="S363" s="256">
        <v>1</v>
      </c>
      <c r="T363" s="285">
        <v>6</v>
      </c>
      <c r="V363" s="260">
        <v>18</v>
      </c>
      <c r="W363" s="256">
        <v>67</v>
      </c>
      <c r="X363" s="256">
        <v>80</v>
      </c>
      <c r="Y363" s="261">
        <v>67</v>
      </c>
      <c r="AA363" s="260">
        <v>-1182</v>
      </c>
      <c r="AB363" s="256">
        <v>3516.8140275378728</v>
      </c>
      <c r="AC363" s="256">
        <v>-1120</v>
      </c>
      <c r="AD363" s="261">
        <v>3516.8140275378728</v>
      </c>
      <c r="AE363" s="261"/>
    </row>
    <row r="364" spans="3:31" x14ac:dyDescent="0.25">
      <c r="C364" s="403"/>
      <c r="D364" s="256">
        <v>95.2</v>
      </c>
      <c r="E364" s="256">
        <v>3032</v>
      </c>
      <c r="F364" s="256">
        <v>97.2</v>
      </c>
      <c r="G364" s="256">
        <v>3030</v>
      </c>
      <c r="H364" s="256" t="s">
        <v>15</v>
      </c>
      <c r="I364" s="261">
        <v>1</v>
      </c>
      <c r="M364" s="399"/>
      <c r="N364" s="256">
        <v>-1280</v>
      </c>
      <c r="O364" s="256">
        <v>3516.8140275378728</v>
      </c>
      <c r="P364" s="256">
        <v>-1218</v>
      </c>
      <c r="Q364" s="256">
        <v>3516.8140275378728</v>
      </c>
      <c r="R364" s="352" t="str">
        <f t="shared" si="72"/>
        <v>Przekroje</v>
      </c>
      <c r="S364" s="256">
        <v>1</v>
      </c>
      <c r="T364" s="285">
        <v>6</v>
      </c>
      <c r="V364" s="260">
        <v>80</v>
      </c>
      <c r="W364" s="256">
        <v>67</v>
      </c>
      <c r="X364" s="256">
        <v>80</v>
      </c>
      <c r="Y364" s="261">
        <v>76</v>
      </c>
      <c r="AA364" s="260">
        <v>-1120</v>
      </c>
      <c r="AB364" s="256">
        <v>3516.8140275378728</v>
      </c>
      <c r="AC364" s="256">
        <v>-1120</v>
      </c>
      <c r="AD364" s="261">
        <v>3525.8140275378728</v>
      </c>
      <c r="AE364" s="261"/>
    </row>
    <row r="365" spans="3:31" x14ac:dyDescent="0.25">
      <c r="C365" s="403"/>
      <c r="D365" s="256">
        <v>97.2</v>
      </c>
      <c r="E365" s="256">
        <v>3030</v>
      </c>
      <c r="F365" s="256">
        <v>97.2</v>
      </c>
      <c r="G365" s="256">
        <v>3018</v>
      </c>
      <c r="H365" s="256" t="s">
        <v>15</v>
      </c>
      <c r="I365" s="261">
        <v>1</v>
      </c>
      <c r="M365" s="399"/>
      <c r="N365" s="256">
        <v>-1203</v>
      </c>
      <c r="O365" s="256">
        <v>3501.8140275378728</v>
      </c>
      <c r="P365" s="256">
        <v>-1203</v>
      </c>
      <c r="Q365" s="256">
        <v>3397.8140275378728</v>
      </c>
      <c r="R365" s="352" t="str">
        <f t="shared" si="72"/>
        <v>Przekroje</v>
      </c>
      <c r="S365" s="256">
        <v>1</v>
      </c>
      <c r="T365" s="285">
        <v>6</v>
      </c>
      <c r="V365" s="260">
        <v>80</v>
      </c>
      <c r="W365" s="256">
        <v>76</v>
      </c>
      <c r="X365" s="256">
        <v>-80</v>
      </c>
      <c r="Y365" s="261">
        <v>76</v>
      </c>
      <c r="AA365" s="260">
        <v>-1120</v>
      </c>
      <c r="AB365" s="256">
        <v>3525.8140275378728</v>
      </c>
      <c r="AC365" s="256">
        <v>-1280</v>
      </c>
      <c r="AD365" s="261">
        <v>3525.8140275378728</v>
      </c>
      <c r="AE365" s="261"/>
    </row>
    <row r="366" spans="3:31" x14ac:dyDescent="0.25">
      <c r="C366" s="403"/>
      <c r="D366" s="256">
        <v>62.8</v>
      </c>
      <c r="E366" s="256">
        <v>3030</v>
      </c>
      <c r="F366" s="256">
        <v>62.8</v>
      </c>
      <c r="G366" s="256">
        <v>3018</v>
      </c>
      <c r="H366" s="256" t="s">
        <v>15</v>
      </c>
      <c r="I366" s="261">
        <v>1</v>
      </c>
      <c r="M366" s="399"/>
      <c r="N366" s="256">
        <v>-1218</v>
      </c>
      <c r="O366" s="256">
        <v>3382.8140275378728</v>
      </c>
      <c r="P366" s="256">
        <v>-1280</v>
      </c>
      <c r="Q366" s="256">
        <v>3382.8140275378728</v>
      </c>
      <c r="R366" s="352" t="str">
        <f t="shared" si="72"/>
        <v>Przekroje</v>
      </c>
      <c r="S366" s="256">
        <v>1</v>
      </c>
      <c r="T366" s="285">
        <v>6</v>
      </c>
      <c r="V366" s="260">
        <v>-80</v>
      </c>
      <c r="W366" s="256">
        <v>76</v>
      </c>
      <c r="X366" s="256">
        <v>-80</v>
      </c>
      <c r="Y366" s="261">
        <v>67</v>
      </c>
      <c r="AA366" s="260">
        <v>-1280</v>
      </c>
      <c r="AB366" s="256">
        <v>3525.8140275378728</v>
      </c>
      <c r="AC366" s="256">
        <v>-1280</v>
      </c>
      <c r="AD366" s="261">
        <v>3516.8140275378728</v>
      </c>
      <c r="AE366" s="261"/>
    </row>
    <row r="367" spans="3:31" x14ac:dyDescent="0.25">
      <c r="C367" s="403"/>
      <c r="D367" s="256">
        <v>62.8</v>
      </c>
      <c r="E367" s="256">
        <v>3018</v>
      </c>
      <c r="F367" s="256">
        <v>64.8</v>
      </c>
      <c r="G367" s="256">
        <v>3016</v>
      </c>
      <c r="H367" s="256" t="s">
        <v>15</v>
      </c>
      <c r="I367" s="261">
        <v>1</v>
      </c>
      <c r="M367" s="399"/>
      <c r="N367" s="256">
        <v>-1280</v>
      </c>
      <c r="O367" s="256">
        <v>3382.8140275378728</v>
      </c>
      <c r="P367" s="256">
        <v>-1280</v>
      </c>
      <c r="Q367" s="256">
        <v>3373.8140275378728</v>
      </c>
      <c r="R367" s="352" t="str">
        <f t="shared" si="72"/>
        <v>Przekroje</v>
      </c>
      <c r="S367" s="256">
        <v>1</v>
      </c>
      <c r="T367" s="285">
        <v>6</v>
      </c>
      <c r="V367" s="260">
        <v>-80</v>
      </c>
      <c r="W367" s="256">
        <v>67</v>
      </c>
      <c r="X367" s="256">
        <v>-18</v>
      </c>
      <c r="Y367" s="261">
        <v>67</v>
      </c>
      <c r="AA367" s="260">
        <v>-1280</v>
      </c>
      <c r="AB367" s="256">
        <v>3516.8140275378728</v>
      </c>
      <c r="AC367" s="256">
        <v>-1218</v>
      </c>
      <c r="AD367" s="261">
        <v>3516.8140275378728</v>
      </c>
      <c r="AE367" s="261"/>
    </row>
    <row r="368" spans="3:31" x14ac:dyDescent="0.25">
      <c r="C368" s="403"/>
      <c r="D368" s="256">
        <v>97.2</v>
      </c>
      <c r="E368" s="256">
        <v>3018</v>
      </c>
      <c r="F368" s="256">
        <v>95.2</v>
      </c>
      <c r="G368" s="256">
        <v>3016</v>
      </c>
      <c r="H368" s="256" t="s">
        <v>15</v>
      </c>
      <c r="I368" s="261">
        <v>1</v>
      </c>
      <c r="M368" s="399"/>
      <c r="N368" s="256">
        <v>-1280</v>
      </c>
      <c r="O368" s="256">
        <v>3373.8140275378728</v>
      </c>
      <c r="P368" s="256">
        <v>-1120</v>
      </c>
      <c r="Q368" s="256">
        <v>3373.8140275378728</v>
      </c>
      <c r="R368" s="352" t="str">
        <f t="shared" si="72"/>
        <v>Przekroje</v>
      </c>
      <c r="S368" s="256">
        <v>1</v>
      </c>
      <c r="T368" s="285">
        <v>6</v>
      </c>
      <c r="V368" s="260">
        <v>-3</v>
      </c>
      <c r="W368" s="256">
        <v>52</v>
      </c>
      <c r="X368" s="256">
        <v>-3</v>
      </c>
      <c r="Y368" s="261">
        <v>-52</v>
      </c>
      <c r="AA368" s="260">
        <v>-1203</v>
      </c>
      <c r="AB368" s="256">
        <v>3501.8140275378728</v>
      </c>
      <c r="AC368" s="256">
        <v>-1203</v>
      </c>
      <c r="AD368" s="261">
        <v>3397.8140275378728</v>
      </c>
      <c r="AE368" s="261"/>
    </row>
    <row r="369" spans="3:31" x14ac:dyDescent="0.25">
      <c r="C369" s="403"/>
      <c r="D369" s="256">
        <v>64.8</v>
      </c>
      <c r="E369" s="256">
        <v>3016</v>
      </c>
      <c r="F369" s="256">
        <v>95.2</v>
      </c>
      <c r="G369" s="256">
        <v>3016</v>
      </c>
      <c r="H369" s="256" t="s">
        <v>15</v>
      </c>
      <c r="I369" s="261">
        <v>1</v>
      </c>
      <c r="M369" s="399"/>
      <c r="N369" s="256">
        <v>-1120</v>
      </c>
      <c r="O369" s="256">
        <v>3373.8140275378728</v>
      </c>
      <c r="P369" s="256">
        <v>-1120</v>
      </c>
      <c r="Q369" s="256">
        <v>3382.8140275378728</v>
      </c>
      <c r="R369" s="352" t="str">
        <f t="shared" si="72"/>
        <v>Przekroje</v>
      </c>
      <c r="S369" s="256">
        <v>1</v>
      </c>
      <c r="T369" s="285">
        <v>6</v>
      </c>
      <c r="V369" s="260">
        <v>-18</v>
      </c>
      <c r="W369" s="256">
        <v>-67</v>
      </c>
      <c r="X369" s="256">
        <v>-80</v>
      </c>
      <c r="Y369" s="261">
        <v>-67</v>
      </c>
      <c r="AA369" s="260">
        <v>-1218</v>
      </c>
      <c r="AB369" s="256">
        <v>3382.8140275378728</v>
      </c>
      <c r="AC369" s="256">
        <v>-1280</v>
      </c>
      <c r="AD369" s="261">
        <v>3382.8140275378728</v>
      </c>
      <c r="AE369" s="261"/>
    </row>
    <row r="370" spans="3:31" ht="15.75" thickBot="1" x14ac:dyDescent="0.3">
      <c r="C370" s="403"/>
      <c r="D370" s="256">
        <v>71.400000000000006</v>
      </c>
      <c r="E370" s="256">
        <v>3032</v>
      </c>
      <c r="F370" s="256">
        <v>71.400000000000006</v>
      </c>
      <c r="G370" s="256">
        <v>3016</v>
      </c>
      <c r="H370" s="256" t="s">
        <v>15</v>
      </c>
      <c r="I370" s="261">
        <v>1</v>
      </c>
      <c r="M370" s="400"/>
      <c r="N370" s="264">
        <v>-1120</v>
      </c>
      <c r="O370" s="264">
        <v>3382.8140275378728</v>
      </c>
      <c r="P370" s="264">
        <v>-1182</v>
      </c>
      <c r="Q370" s="264">
        <v>3382.8140275378728</v>
      </c>
      <c r="R370" s="353" t="str">
        <f t="shared" si="72"/>
        <v>Przekroje</v>
      </c>
      <c r="S370" s="264">
        <v>1</v>
      </c>
      <c r="T370" s="309">
        <v>6</v>
      </c>
      <c r="V370" s="260">
        <v>-80</v>
      </c>
      <c r="W370" s="256">
        <v>-67</v>
      </c>
      <c r="X370" s="256">
        <v>-80</v>
      </c>
      <c r="Y370" s="261">
        <v>-76</v>
      </c>
      <c r="AA370" s="260">
        <v>-1280</v>
      </c>
      <c r="AB370" s="256">
        <v>3382.8140275378728</v>
      </c>
      <c r="AC370" s="256">
        <v>-1280</v>
      </c>
      <c r="AD370" s="261">
        <v>3373.8140275378728</v>
      </c>
      <c r="AE370" s="261"/>
    </row>
    <row r="371" spans="3:31" x14ac:dyDescent="0.25">
      <c r="C371" s="403"/>
      <c r="D371" s="256">
        <v>88.6</v>
      </c>
      <c r="E371" s="256">
        <v>3032</v>
      </c>
      <c r="F371" s="256">
        <v>88.6</v>
      </c>
      <c r="G371" s="256">
        <v>3016</v>
      </c>
      <c r="H371" s="256" t="s">
        <v>15</v>
      </c>
      <c r="I371" s="261">
        <v>1</v>
      </c>
      <c r="M371" s="391" t="s">
        <v>459</v>
      </c>
      <c r="N371" s="258" cm="1">
        <f t="array" ref="N371:O371">N324:O324</f>
        <v>-1360</v>
      </c>
      <c r="O371" s="258">
        <v>3096</v>
      </c>
      <c r="P371" s="258">
        <f>N371</f>
        <v>-1360</v>
      </c>
      <c r="Q371" s="258">
        <f>O371+Parametry!E50</f>
        <v>3196</v>
      </c>
      <c r="R371" s="258" t="s">
        <v>5</v>
      </c>
      <c r="S371" s="258">
        <v>1</v>
      </c>
      <c r="T371" s="295"/>
      <c r="V371" s="260">
        <v>-80</v>
      </c>
      <c r="W371" s="256">
        <v>-76</v>
      </c>
      <c r="X371" s="256">
        <v>80</v>
      </c>
      <c r="Y371" s="261">
        <v>-76</v>
      </c>
      <c r="AA371" s="260">
        <v>-1280</v>
      </c>
      <c r="AB371" s="256">
        <v>3373.8140275378728</v>
      </c>
      <c r="AC371" s="256">
        <v>-1120</v>
      </c>
      <c r="AD371" s="261">
        <v>3373.8140275378728</v>
      </c>
      <c r="AE371" s="261"/>
    </row>
    <row r="372" spans="3:31" x14ac:dyDescent="0.25">
      <c r="C372" s="403"/>
      <c r="D372" s="256">
        <v>70</v>
      </c>
      <c r="E372" s="256">
        <v>3016</v>
      </c>
      <c r="F372" s="256">
        <v>70</v>
      </c>
      <c r="G372" s="256">
        <v>3012.5</v>
      </c>
      <c r="H372" s="256" t="s">
        <v>15</v>
      </c>
      <c r="I372" s="261">
        <v>1</v>
      </c>
      <c r="M372" s="399"/>
      <c r="N372" s="256" cm="1">
        <f t="array" ref="N372:O372">P324:Q324</f>
        <v>-1040</v>
      </c>
      <c r="O372" s="256">
        <v>3096</v>
      </c>
      <c r="P372" s="256">
        <f>N372</f>
        <v>-1040</v>
      </c>
      <c r="Q372" s="256">
        <f>Q371</f>
        <v>3196</v>
      </c>
      <c r="R372" s="256" t="s">
        <v>5</v>
      </c>
      <c r="S372" s="256">
        <v>1</v>
      </c>
      <c r="T372" s="285"/>
      <c r="V372" s="260">
        <v>80</v>
      </c>
      <c r="W372" s="256">
        <v>-76</v>
      </c>
      <c r="X372" s="256">
        <v>80</v>
      </c>
      <c r="Y372" s="261">
        <v>-67</v>
      </c>
      <c r="AA372" s="260">
        <v>-1120</v>
      </c>
      <c r="AB372" s="256">
        <v>3373.8140275378728</v>
      </c>
      <c r="AC372" s="256">
        <v>-1120</v>
      </c>
      <c r="AD372" s="261">
        <v>3382.8140275378728</v>
      </c>
      <c r="AE372" s="261"/>
    </row>
    <row r="373" spans="3:31" ht="15.75" thickBot="1" x14ac:dyDescent="0.3">
      <c r="C373" s="403"/>
      <c r="D373" s="256">
        <v>90</v>
      </c>
      <c r="E373" s="256">
        <v>3016</v>
      </c>
      <c r="F373" s="256">
        <v>90</v>
      </c>
      <c r="G373" s="256">
        <v>3012.5</v>
      </c>
      <c r="H373" s="256" t="s">
        <v>15</v>
      </c>
      <c r="I373" s="261">
        <v>1</v>
      </c>
      <c r="M373" s="399"/>
      <c r="N373" s="256" cm="1">
        <f t="array" ref="N373:O373">N368:O368</f>
        <v>-1280</v>
      </c>
      <c r="O373" s="256">
        <v>3373.8140275378728</v>
      </c>
      <c r="P373" s="256" cm="1">
        <f t="array" ref="P373:Q373">P371:Q371</f>
        <v>-1360</v>
      </c>
      <c r="Q373" s="256">
        <v>3196</v>
      </c>
      <c r="R373" s="256" t="s">
        <v>5</v>
      </c>
      <c r="S373" s="256">
        <v>1</v>
      </c>
      <c r="T373" s="285"/>
      <c r="V373" s="263">
        <v>80</v>
      </c>
      <c r="W373" s="264">
        <v>-67</v>
      </c>
      <c r="X373" s="264">
        <v>18</v>
      </c>
      <c r="Y373" s="265">
        <v>-67</v>
      </c>
      <c r="AA373" s="263">
        <v>-1120</v>
      </c>
      <c r="AB373" s="264">
        <v>3382.8140275378728</v>
      </c>
      <c r="AC373" s="264">
        <v>-1182</v>
      </c>
      <c r="AD373" s="265">
        <v>3382.8140275378728</v>
      </c>
      <c r="AE373" s="261"/>
    </row>
    <row r="374" spans="3:31" ht="15.75" thickBot="1" x14ac:dyDescent="0.3">
      <c r="C374" s="403"/>
      <c r="D374" s="256">
        <v>70</v>
      </c>
      <c r="E374" s="256">
        <v>3012.5</v>
      </c>
      <c r="F374" s="256">
        <v>72</v>
      </c>
      <c r="G374" s="256">
        <v>3010.5</v>
      </c>
      <c r="H374" s="256" t="s">
        <v>15</v>
      </c>
      <c r="I374" s="261">
        <v>1</v>
      </c>
      <c r="M374" s="399"/>
      <c r="N374" s="256" cm="1">
        <f t="array" ref="N374:O374">P368:Q368</f>
        <v>-1120</v>
      </c>
      <c r="O374" s="256">
        <v>3373.8140275378728</v>
      </c>
      <c r="P374" s="256" cm="1">
        <f t="array" ref="P374:Q374">P372:Q372</f>
        <v>-1040</v>
      </c>
      <c r="Q374" s="256">
        <v>3196</v>
      </c>
      <c r="R374" s="256" t="s">
        <v>5</v>
      </c>
      <c r="S374" s="256">
        <v>1</v>
      </c>
      <c r="T374" s="285"/>
      <c r="V374" s="260"/>
      <c r="X374" s="397" t="s">
        <v>478</v>
      </c>
      <c r="Y374" s="397"/>
      <c r="Z374" s="397"/>
      <c r="AA374" s="397"/>
      <c r="AB374" s="397"/>
      <c r="AC374" s="397"/>
      <c r="AD374" s="397"/>
      <c r="AE374" s="398"/>
    </row>
    <row r="375" spans="3:31" ht="33.75" customHeight="1" x14ac:dyDescent="0.25">
      <c r="C375" s="403"/>
      <c r="D375" s="256">
        <v>90</v>
      </c>
      <c r="E375" s="256">
        <v>3012.5</v>
      </c>
      <c r="F375" s="256">
        <v>88</v>
      </c>
      <c r="G375" s="256">
        <v>3010.5</v>
      </c>
      <c r="H375" s="256" t="s">
        <v>15</v>
      </c>
      <c r="I375" s="261">
        <v>1</v>
      </c>
      <c r="M375" s="399"/>
      <c r="N375" s="256">
        <f>N355-Parametry!E49</f>
        <v>-1223</v>
      </c>
      <c r="O375" s="256">
        <f>O355</f>
        <v>3096</v>
      </c>
      <c r="P375" s="256">
        <f>N355</f>
        <v>-1203</v>
      </c>
      <c r="Q375" s="256">
        <f>O375+Parametry!F49</f>
        <v>3116</v>
      </c>
      <c r="R375" s="256" t="s">
        <v>5</v>
      </c>
      <c r="S375" s="256">
        <v>1</v>
      </c>
      <c r="T375" s="285"/>
      <c r="V375" s="391" t="s">
        <v>457</v>
      </c>
      <c r="W375" s="393"/>
      <c r="X375" s="270" t="s">
        <v>99</v>
      </c>
      <c r="Y375" s="290" t="s">
        <v>100</v>
      </c>
      <c r="Z375" s="290" t="s">
        <v>101</v>
      </c>
      <c r="AA375" s="290" t="s">
        <v>102</v>
      </c>
      <c r="AB375" s="290" t="s">
        <v>103</v>
      </c>
      <c r="AC375" s="290" t="s">
        <v>97</v>
      </c>
      <c r="AD375" s="290" t="s">
        <v>19</v>
      </c>
      <c r="AE375" s="292" t="s">
        <v>458</v>
      </c>
    </row>
    <row r="376" spans="3:31" x14ac:dyDescent="0.25">
      <c r="C376" s="403"/>
      <c r="D376" s="256">
        <v>72</v>
      </c>
      <c r="E376" s="256">
        <v>3010.5</v>
      </c>
      <c r="F376" s="256">
        <v>88</v>
      </c>
      <c r="G376" s="256">
        <v>3010.5</v>
      </c>
      <c r="H376" s="256" t="s">
        <v>15</v>
      </c>
      <c r="I376" s="261">
        <v>1</v>
      </c>
      <c r="M376" s="399"/>
      <c r="N376" s="256">
        <f>N357+Parametry!E49</f>
        <v>-1177</v>
      </c>
      <c r="O376" s="256">
        <f>O375</f>
        <v>3096</v>
      </c>
      <c r="P376" s="256">
        <f>N357</f>
        <v>-1197</v>
      </c>
      <c r="Q376" s="256">
        <f>Q375</f>
        <v>3116</v>
      </c>
      <c r="R376" s="256" t="s">
        <v>5</v>
      </c>
      <c r="S376" s="256">
        <v>1</v>
      </c>
      <c r="T376" s="285"/>
      <c r="V376" s="260" cm="1">
        <f t="array" ref="V376:W379">AF26:AG29</f>
        <v>18</v>
      </c>
      <c r="W376" s="261">
        <v>-52</v>
      </c>
      <c r="X376" s="260" cm="1">
        <f t="array" ref="X376:X379">AC360+V376:V379</f>
        <v>-1182</v>
      </c>
      <c r="Y376" s="256" cm="1">
        <f t="array" ref="Y376:Y379">AD360+W376:W379</f>
        <v>3397.8140275378728</v>
      </c>
      <c r="Z376" s="256" cm="1">
        <f t="array" ref="Z376:Z379">M6:M9</f>
        <v>15</v>
      </c>
      <c r="AA376" s="256">
        <f>RADIANS(180)</f>
        <v>3.1415926535897931</v>
      </c>
      <c r="AB376" s="256">
        <f>RADIANS(270)</f>
        <v>4.7123889803846897</v>
      </c>
      <c r="AC376" s="256" t="s">
        <v>11</v>
      </c>
      <c r="AD376" s="256">
        <v>1</v>
      </c>
      <c r="AE376" s="261">
        <v>6</v>
      </c>
    </row>
    <row r="377" spans="3:31" ht="15.75" thickBot="1" x14ac:dyDescent="0.3">
      <c r="C377" s="403"/>
      <c r="D377" s="256">
        <v>80</v>
      </c>
      <c r="E377" s="256">
        <v>3135.5</v>
      </c>
      <c r="F377" s="256">
        <v>80</v>
      </c>
      <c r="G377" s="256">
        <v>2985.5</v>
      </c>
      <c r="H377" s="256" t="s">
        <v>372</v>
      </c>
      <c r="I377" s="261">
        <v>1.5</v>
      </c>
      <c r="M377" s="399"/>
      <c r="N377" s="256">
        <f>N355</f>
        <v>-1203</v>
      </c>
      <c r="O377" s="256">
        <f>O358-Parametry!F49</f>
        <v>3353.8140275378728</v>
      </c>
      <c r="P377" s="256">
        <f>N377-Parametry!E49</f>
        <v>-1223</v>
      </c>
      <c r="Q377" s="256">
        <f>O358</f>
        <v>3373.8140275378728</v>
      </c>
      <c r="R377" s="256" t="s">
        <v>5</v>
      </c>
      <c r="S377" s="256">
        <v>1</v>
      </c>
      <c r="T377" s="285"/>
      <c r="V377" s="260">
        <v>18</v>
      </c>
      <c r="W377" s="261">
        <v>52</v>
      </c>
      <c r="X377" s="260">
        <v>-1182</v>
      </c>
      <c r="Y377" s="256">
        <v>3501.8140275378728</v>
      </c>
      <c r="Z377" s="256">
        <v>15</v>
      </c>
      <c r="AA377" s="256">
        <f>RADIANS(90)</f>
        <v>1.5707963267948966</v>
      </c>
      <c r="AB377" s="256">
        <f>RADIANS(180)</f>
        <v>3.1415926535897931</v>
      </c>
      <c r="AC377" s="352" t="str">
        <f>$AC$376</f>
        <v>Przekroje</v>
      </c>
      <c r="AD377" s="256">
        <v>1</v>
      </c>
      <c r="AE377" s="261">
        <v>6</v>
      </c>
    </row>
    <row r="378" spans="3:31" ht="15.75" thickBot="1" x14ac:dyDescent="0.3">
      <c r="C378" s="391" t="s">
        <v>414</v>
      </c>
      <c r="D378" s="258" cm="1">
        <f t="array" ref="D378:G464">AB203:AE289</f>
        <v>-65.160551733691122</v>
      </c>
      <c r="E378" s="258">
        <v>3521.6247338407697</v>
      </c>
      <c r="F378" s="258">
        <v>54.546524323304084</v>
      </c>
      <c r="G378" s="258">
        <v>3530.0042291647592</v>
      </c>
      <c r="H378" s="258" t="s">
        <v>14</v>
      </c>
      <c r="I378" s="259">
        <v>1</v>
      </c>
      <c r="M378" s="400"/>
      <c r="N378" s="264">
        <f>N357</f>
        <v>-1197</v>
      </c>
      <c r="O378" s="264">
        <f>O377</f>
        <v>3353.8140275378728</v>
      </c>
      <c r="P378" s="264">
        <f>N378+Parametry!E49</f>
        <v>-1177</v>
      </c>
      <c r="Q378" s="264">
        <f>Q377</f>
        <v>3373.8140275378728</v>
      </c>
      <c r="R378" s="264" t="s">
        <v>5</v>
      </c>
      <c r="S378" s="264">
        <v>1</v>
      </c>
      <c r="T378" s="309"/>
      <c r="V378" s="260">
        <v>-18</v>
      </c>
      <c r="W378" s="261">
        <v>52</v>
      </c>
      <c r="X378" s="260">
        <v>-1218</v>
      </c>
      <c r="Y378" s="256">
        <v>3501.8140275378728</v>
      </c>
      <c r="Z378" s="256">
        <v>15</v>
      </c>
      <c r="AA378" s="256">
        <f>RADIANS(0)</f>
        <v>0</v>
      </c>
      <c r="AB378" s="256">
        <f>RADIANS(90)</f>
        <v>1.5707963267948966</v>
      </c>
      <c r="AC378" s="352" t="str">
        <f t="shared" ref="AC378:AC379" si="73">$AC$376</f>
        <v>Przekroje</v>
      </c>
      <c r="AD378" s="256">
        <v>1</v>
      </c>
      <c r="AE378" s="261">
        <v>6</v>
      </c>
    </row>
    <row r="379" spans="3:31" ht="15.75" thickBot="1" x14ac:dyDescent="0.3">
      <c r="C379" s="399"/>
      <c r="D379" s="256">
        <v>-65.160551733691122</v>
      </c>
      <c r="E379" s="256">
        <v>3521.6247338407697</v>
      </c>
      <c r="F379" s="256">
        <v>-65.844877185150281</v>
      </c>
      <c r="G379" s="256">
        <v>3531.4008117187577</v>
      </c>
      <c r="H379" s="256" t="s">
        <v>14</v>
      </c>
      <c r="I379" s="261">
        <v>1</v>
      </c>
      <c r="M379" s="391" t="s">
        <v>460</v>
      </c>
      <c r="N379" s="258" cm="1">
        <f t="array" ref="N379:O379">N367:O367</f>
        <v>-1280</v>
      </c>
      <c r="O379" s="258">
        <v>3382.8140275378728</v>
      </c>
      <c r="P379" s="258" cm="1">
        <f t="array" ref="P379:Q379">N364:O364</f>
        <v>-1280</v>
      </c>
      <c r="Q379" s="258">
        <v>3516.8140275378728</v>
      </c>
      <c r="R379" s="258" t="s">
        <v>5</v>
      </c>
      <c r="S379" s="258">
        <v>1</v>
      </c>
      <c r="T379" s="295"/>
      <c r="V379" s="263">
        <v>-18</v>
      </c>
      <c r="W379" s="265">
        <v>-52</v>
      </c>
      <c r="X379" s="263">
        <v>-1218</v>
      </c>
      <c r="Y379" s="264">
        <v>3397.8140275378728</v>
      </c>
      <c r="Z379" s="264">
        <v>15</v>
      </c>
      <c r="AA379" s="264">
        <f>RADIANS(270)</f>
        <v>4.7123889803846897</v>
      </c>
      <c r="AB379" s="264">
        <f>RADIANS(0)</f>
        <v>0</v>
      </c>
      <c r="AC379" s="353" t="str">
        <f t="shared" si="73"/>
        <v>Przekroje</v>
      </c>
      <c r="AD379" s="264">
        <v>1</v>
      </c>
      <c r="AE379" s="265">
        <v>6</v>
      </c>
    </row>
    <row r="380" spans="3:31" x14ac:dyDescent="0.25">
      <c r="C380" s="399"/>
      <c r="D380" s="256">
        <v>54.546524323304084</v>
      </c>
      <c r="E380" s="256">
        <v>3530.0042291647592</v>
      </c>
      <c r="F380" s="256">
        <v>53.862198871844924</v>
      </c>
      <c r="G380" s="256">
        <v>3539.7803070427472</v>
      </c>
      <c r="H380" s="256" t="s">
        <v>14</v>
      </c>
      <c r="I380" s="261">
        <v>1</v>
      </c>
      <c r="M380" s="399"/>
      <c r="N380" s="256" cm="1">
        <f t="array" ref="N380:O380">N370:O370</f>
        <v>-1120</v>
      </c>
      <c r="O380" s="256">
        <v>3382.8140275378728</v>
      </c>
      <c r="P380" s="256" cm="1">
        <f t="array" ref="P380:Q380">N361:O361</f>
        <v>-1120</v>
      </c>
      <c r="Q380" s="256">
        <v>3516.8140275378728</v>
      </c>
      <c r="R380" s="256" t="s">
        <v>5</v>
      </c>
      <c r="S380" s="256">
        <v>1</v>
      </c>
      <c r="T380" s="285"/>
      <c r="AE380" s="261"/>
    </row>
    <row r="381" spans="3:31" x14ac:dyDescent="0.25">
      <c r="C381" s="399"/>
      <c r="D381" s="256">
        <v>-65.844877185150281</v>
      </c>
      <c r="E381" s="256">
        <v>3531.4008117187577</v>
      </c>
      <c r="F381" s="256">
        <v>-24.047156461916124</v>
      </c>
      <c r="G381" s="256">
        <v>3534.326652169384</v>
      </c>
      <c r="H381" s="256" t="s">
        <v>14</v>
      </c>
      <c r="I381" s="261">
        <v>1</v>
      </c>
      <c r="M381" s="399"/>
      <c r="N381" s="256">
        <f>N322-Parametry!H30/2-Parametry!E49</f>
        <v>-1223</v>
      </c>
      <c r="O381" s="256">
        <f>O379</f>
        <v>3382.8140275378728</v>
      </c>
      <c r="P381" s="256">
        <f>N322-Parametry!H30/2</f>
        <v>-1203</v>
      </c>
      <c r="Q381" s="256">
        <f>O381+Parametry!F49</f>
        <v>3402.8140275378728</v>
      </c>
      <c r="R381" s="256" t="s">
        <v>5</v>
      </c>
      <c r="S381" s="256">
        <v>1</v>
      </c>
      <c r="T381" s="285"/>
      <c r="AE381" s="261"/>
    </row>
    <row r="382" spans="3:31" x14ac:dyDescent="0.25">
      <c r="C382" s="399"/>
      <c r="D382" s="256">
        <v>53.862198871844924</v>
      </c>
      <c r="E382" s="256">
        <v>3539.7803070427472</v>
      </c>
      <c r="F382" s="256">
        <v>12.064478148610768</v>
      </c>
      <c r="G382" s="256">
        <v>3536.8544665921208</v>
      </c>
      <c r="H382" s="256" t="s">
        <v>14</v>
      </c>
      <c r="I382" s="261">
        <v>1</v>
      </c>
      <c r="M382" s="399"/>
      <c r="N382" s="256">
        <f>N381</f>
        <v>-1223</v>
      </c>
      <c r="O382" s="256">
        <f>Q379</f>
        <v>3516.8140275378728</v>
      </c>
      <c r="P382" s="256">
        <f>P381</f>
        <v>-1203</v>
      </c>
      <c r="Q382" s="256">
        <f>O382-Parametry!F49</f>
        <v>3496.8140275378728</v>
      </c>
      <c r="R382" s="256" t="s">
        <v>5</v>
      </c>
      <c r="S382" s="256">
        <v>1</v>
      </c>
      <c r="T382" s="285"/>
      <c r="AE382" s="261"/>
    </row>
    <row r="383" spans="3:31" x14ac:dyDescent="0.25">
      <c r="C383" s="399"/>
      <c r="D383" s="256">
        <v>-10.131208870290431</v>
      </c>
      <c r="E383" s="256">
        <v>3550.337473592007</v>
      </c>
      <c r="F383" s="256">
        <v>-23.426674784354034</v>
      </c>
      <c r="G383" s="256">
        <v>3740.2727009357727</v>
      </c>
      <c r="H383" s="256" t="s">
        <v>14</v>
      </c>
      <c r="I383" s="261">
        <v>1</v>
      </c>
      <c r="M383" s="399"/>
      <c r="N383" s="256">
        <f>N322+Parametry!H30/2+Parametry!E49</f>
        <v>-1177</v>
      </c>
      <c r="O383" s="256">
        <f>O380</f>
        <v>3382.8140275378728</v>
      </c>
      <c r="P383" s="256">
        <f>N322+Parametry!H30/2</f>
        <v>-1197</v>
      </c>
      <c r="Q383" s="256">
        <f>O383+Parametry!F49</f>
        <v>3402.8140275378728</v>
      </c>
      <c r="R383" s="256" t="s">
        <v>5</v>
      </c>
      <c r="S383" s="256">
        <v>1</v>
      </c>
      <c r="T383" s="285"/>
      <c r="AE383" s="261"/>
    </row>
    <row r="384" spans="3:31" ht="15.75" thickBot="1" x14ac:dyDescent="0.3">
      <c r="C384" s="399"/>
      <c r="D384" s="256">
        <v>-3.9463432740123419</v>
      </c>
      <c r="E384" s="256">
        <v>3550.7704141837467</v>
      </c>
      <c r="F384" s="256">
        <v>-17.241809188075944</v>
      </c>
      <c r="G384" s="256">
        <v>3740.7056415275124</v>
      </c>
      <c r="H384" s="256" t="s">
        <v>14</v>
      </c>
      <c r="I384" s="261">
        <v>1</v>
      </c>
      <c r="M384" s="400"/>
      <c r="N384" s="264">
        <f>N383</f>
        <v>-1177</v>
      </c>
      <c r="O384" s="264">
        <f>O382</f>
        <v>3516.8140275378728</v>
      </c>
      <c r="P384" s="264">
        <f>P383</f>
        <v>-1197</v>
      </c>
      <c r="Q384" s="264">
        <f>Q382</f>
        <v>3496.8140275378728</v>
      </c>
      <c r="R384" s="264" t="s">
        <v>5</v>
      </c>
      <c r="S384" s="264">
        <v>1</v>
      </c>
      <c r="T384" s="309"/>
      <c r="AE384" s="261"/>
    </row>
    <row r="385" spans="3:31" x14ac:dyDescent="0.25">
      <c r="C385" s="399"/>
      <c r="D385" s="256">
        <v>-39.437496206977144</v>
      </c>
      <c r="E385" s="256">
        <v>3754.1886485273985</v>
      </c>
      <c r="F385" s="256">
        <v>-81.235216930211294</v>
      </c>
      <c r="G385" s="256">
        <v>3751.2628080767722</v>
      </c>
      <c r="H385" s="256" t="s">
        <v>14</v>
      </c>
      <c r="I385" s="261">
        <v>1</v>
      </c>
      <c r="M385" s="391" t="s">
        <v>461</v>
      </c>
      <c r="N385" s="258">
        <f>N322-Parametry!E51/2</f>
        <v>-1205</v>
      </c>
      <c r="O385" s="258">
        <f>O362</f>
        <v>3525.8140275378728</v>
      </c>
      <c r="P385" s="258">
        <f>N385</f>
        <v>-1205</v>
      </c>
      <c r="Q385" s="258">
        <f>O385+Parametry!F29</f>
        <v>3765.8140275378728</v>
      </c>
      <c r="R385" s="258" t="s">
        <v>14</v>
      </c>
      <c r="S385" s="258">
        <v>1</v>
      </c>
      <c r="T385" s="295"/>
      <c r="AE385" s="261"/>
    </row>
    <row r="386" spans="3:31" x14ac:dyDescent="0.25">
      <c r="C386" s="399"/>
      <c r="D386" s="256">
        <v>-3.3258615964502525</v>
      </c>
      <c r="E386" s="256">
        <v>3756.7164629501353</v>
      </c>
      <c r="F386" s="256">
        <v>38.471859126783912</v>
      </c>
      <c r="G386" s="256">
        <v>3759.6423034007616</v>
      </c>
      <c r="H386" s="256" t="s">
        <v>14</v>
      </c>
      <c r="I386" s="261">
        <v>1</v>
      </c>
      <c r="M386" s="399"/>
      <c r="N386" s="256" cm="1">
        <f t="array" ref="N386:O386">N385:O385</f>
        <v>-1205</v>
      </c>
      <c r="O386" s="256">
        <v>3525.8140275378728</v>
      </c>
      <c r="P386" s="256">
        <f>N386-Parametry!E57</f>
        <v>-1555</v>
      </c>
      <c r="Q386" s="256">
        <f>O386</f>
        <v>3525.8140275378728</v>
      </c>
      <c r="R386" s="256" t="s">
        <v>14</v>
      </c>
      <c r="S386" s="256">
        <v>1</v>
      </c>
      <c r="T386" s="285"/>
      <c r="AE386" s="261"/>
    </row>
    <row r="387" spans="3:31" x14ac:dyDescent="0.25">
      <c r="C387" s="399"/>
      <c r="D387" s="256">
        <v>-81.235216930211294</v>
      </c>
      <c r="E387" s="256">
        <v>3751.2628080767722</v>
      </c>
      <c r="F387" s="256">
        <v>-81.919542381670453</v>
      </c>
      <c r="G387" s="256">
        <v>3761.0388859547602</v>
      </c>
      <c r="H387" s="256" t="s">
        <v>14</v>
      </c>
      <c r="I387" s="261">
        <v>1</v>
      </c>
      <c r="M387" s="399"/>
      <c r="N387" s="256">
        <f>N386</f>
        <v>-1205</v>
      </c>
      <c r="O387" s="256">
        <f>O386+Parametry!I29</f>
        <v>3535.614027537873</v>
      </c>
      <c r="P387" s="256">
        <f>P386</f>
        <v>-1555</v>
      </c>
      <c r="Q387" s="256">
        <f>O387</f>
        <v>3535.614027537873</v>
      </c>
      <c r="R387" s="256" t="s">
        <v>14</v>
      </c>
      <c r="S387" s="256">
        <v>1</v>
      </c>
      <c r="T387" s="285"/>
      <c r="AE387" s="261"/>
    </row>
    <row r="388" spans="3:31" x14ac:dyDescent="0.25">
      <c r="C388" s="399"/>
      <c r="D388" s="256">
        <v>38.471859126783912</v>
      </c>
      <c r="E388" s="256">
        <v>3759.6423034007616</v>
      </c>
      <c r="F388" s="256">
        <v>37.787533675324752</v>
      </c>
      <c r="G388" s="256">
        <v>3769.4183812787496</v>
      </c>
      <c r="H388" s="256" t="s">
        <v>14</v>
      </c>
      <c r="I388" s="261">
        <v>1</v>
      </c>
      <c r="M388" s="399"/>
      <c r="N388" s="256">
        <f>N387</f>
        <v>-1205</v>
      </c>
      <c r="O388" s="256">
        <f>O386+Parametry!F29-Parametry!I29</f>
        <v>3756.0140275378726</v>
      </c>
      <c r="P388" s="256">
        <f>P387</f>
        <v>-1555</v>
      </c>
      <c r="Q388" s="256">
        <f>O388</f>
        <v>3756.0140275378726</v>
      </c>
      <c r="R388" s="256" t="s">
        <v>14</v>
      </c>
      <c r="S388" s="256">
        <v>1</v>
      </c>
      <c r="T388" s="285"/>
      <c r="AE388" s="261"/>
    </row>
    <row r="389" spans="3:31" x14ac:dyDescent="0.25">
      <c r="C389" s="399"/>
      <c r="D389" s="256">
        <v>-81.919542381670453</v>
      </c>
      <c r="E389" s="256">
        <v>3761.0388859547602</v>
      </c>
      <c r="F389" s="256">
        <v>37.787533675324752</v>
      </c>
      <c r="G389" s="256">
        <v>3769.4183812787496</v>
      </c>
      <c r="H389" s="256" t="s">
        <v>14</v>
      </c>
      <c r="I389" s="261">
        <v>1</v>
      </c>
      <c r="M389" s="399"/>
      <c r="N389" s="256">
        <f>N388</f>
        <v>-1205</v>
      </c>
      <c r="O389" s="256">
        <f>O386+Parametry!F29</f>
        <v>3765.8140275378728</v>
      </c>
      <c r="P389" s="256">
        <f>P388</f>
        <v>-1555</v>
      </c>
      <c r="Q389" s="256">
        <f>O389</f>
        <v>3765.8140275378728</v>
      </c>
      <c r="R389" s="256" t="s">
        <v>14</v>
      </c>
      <c r="S389" s="256">
        <v>1</v>
      </c>
      <c r="T389" s="285"/>
      <c r="AE389" s="261"/>
    </row>
    <row r="390" spans="3:31" x14ac:dyDescent="0.25">
      <c r="C390" s="399"/>
      <c r="D390" s="256">
        <v>-65.160551733691122</v>
      </c>
      <c r="E390" s="256">
        <v>3521.6247338407697</v>
      </c>
      <c r="F390" s="256">
        <v>-67.255425564688537</v>
      </c>
      <c r="G390" s="256">
        <v>3551.5515028550185</v>
      </c>
      <c r="H390" s="256" t="s">
        <v>11</v>
      </c>
      <c r="I390" s="261">
        <v>1</v>
      </c>
      <c r="M390" s="399"/>
      <c r="N390" s="256">
        <f>N322+Parametry!E51/2</f>
        <v>-1195</v>
      </c>
      <c r="O390" s="256" cm="1">
        <f t="array" ref="O390:O394">O385:O389</f>
        <v>3525.8140275378728</v>
      </c>
      <c r="P390" s="256">
        <f>N390</f>
        <v>-1195</v>
      </c>
      <c r="Q390" s="256" cm="1">
        <f t="array" ref="Q390:Q394">Q385:Q389</f>
        <v>3765.8140275378728</v>
      </c>
      <c r="R390" s="256" t="s">
        <v>14</v>
      </c>
      <c r="S390" s="256">
        <v>1</v>
      </c>
      <c r="T390" s="285"/>
      <c r="AE390" s="261"/>
    </row>
    <row r="391" spans="3:31" x14ac:dyDescent="0.25">
      <c r="C391" s="399"/>
      <c r="D391" s="256">
        <v>-65.160551733691122</v>
      </c>
      <c r="E391" s="256">
        <v>3521.6247338407697</v>
      </c>
      <c r="F391" s="256">
        <v>-105.0629104193562</v>
      </c>
      <c r="G391" s="256">
        <v>3518.8315687327731</v>
      </c>
      <c r="H391" s="256" t="s">
        <v>11</v>
      </c>
      <c r="I391" s="261">
        <v>1</v>
      </c>
      <c r="M391" s="399"/>
      <c r="N391" s="256">
        <f>N390</f>
        <v>-1195</v>
      </c>
      <c r="O391" s="256">
        <v>3525.8140275378728</v>
      </c>
      <c r="P391" s="256">
        <f>N391+Parametry!E57</f>
        <v>-845</v>
      </c>
      <c r="Q391" s="256">
        <v>3525.8140275378728</v>
      </c>
      <c r="R391" s="256" t="s">
        <v>14</v>
      </c>
      <c r="S391" s="256">
        <v>1</v>
      </c>
      <c r="T391" s="285"/>
      <c r="AE391" s="261"/>
    </row>
    <row r="392" spans="3:31" x14ac:dyDescent="0.25">
      <c r="C392" s="399"/>
      <c r="D392" s="256">
        <v>-67.255425564688537</v>
      </c>
      <c r="E392" s="256">
        <v>3551.5515028550185</v>
      </c>
      <c r="F392" s="256">
        <v>-107.15778425035361</v>
      </c>
      <c r="G392" s="256">
        <v>3548.7583377470219</v>
      </c>
      <c r="H392" s="256" t="s">
        <v>11</v>
      </c>
      <c r="I392" s="261">
        <v>1</v>
      </c>
      <c r="M392" s="399"/>
      <c r="N392" s="256">
        <f>N391</f>
        <v>-1195</v>
      </c>
      <c r="O392" s="256">
        <v>3535.614027537873</v>
      </c>
      <c r="P392" s="256">
        <f>P391</f>
        <v>-845</v>
      </c>
      <c r="Q392" s="256">
        <v>3535.614027537873</v>
      </c>
      <c r="R392" s="256" t="s">
        <v>14</v>
      </c>
      <c r="S392" s="256">
        <v>1</v>
      </c>
      <c r="T392" s="285"/>
      <c r="AE392" s="261"/>
    </row>
    <row r="393" spans="3:31" x14ac:dyDescent="0.25">
      <c r="C393" s="399"/>
      <c r="D393" s="256">
        <v>-105.0629104193562</v>
      </c>
      <c r="E393" s="256">
        <v>3518.8315687327731</v>
      </c>
      <c r="F393" s="256">
        <v>-107.15778425035361</v>
      </c>
      <c r="G393" s="256">
        <v>3548.7583377470219</v>
      </c>
      <c r="H393" s="256" t="s">
        <v>11</v>
      </c>
      <c r="I393" s="261">
        <v>1</v>
      </c>
      <c r="M393" s="399"/>
      <c r="N393" s="256">
        <f>N392</f>
        <v>-1195</v>
      </c>
      <c r="O393" s="256">
        <v>3756.0140275378726</v>
      </c>
      <c r="P393" s="256">
        <f>P392</f>
        <v>-845</v>
      </c>
      <c r="Q393" s="256">
        <v>3756.0140275378726</v>
      </c>
      <c r="R393" s="256" t="s">
        <v>14</v>
      </c>
      <c r="S393" s="256">
        <v>1</v>
      </c>
      <c r="T393" s="285"/>
      <c r="AE393" s="261"/>
    </row>
    <row r="394" spans="3:31" x14ac:dyDescent="0.25">
      <c r="C394" s="399"/>
      <c r="D394" s="256">
        <v>-10.494320334329981</v>
      </c>
      <c r="E394" s="256">
        <v>3555.5247802211434</v>
      </c>
      <c r="F394" s="256">
        <v>-85.311242869951982</v>
      </c>
      <c r="G394" s="256">
        <v>3550.2875956436501</v>
      </c>
      <c r="H394" s="256" t="s">
        <v>11</v>
      </c>
      <c r="I394" s="261">
        <v>1</v>
      </c>
      <c r="M394" s="399"/>
      <c r="N394" s="256">
        <f>N393</f>
        <v>-1195</v>
      </c>
      <c r="O394" s="256">
        <v>3765.8140275378728</v>
      </c>
      <c r="P394" s="256">
        <f>P393</f>
        <v>-845</v>
      </c>
      <c r="Q394" s="256">
        <v>3765.8140275378728</v>
      </c>
      <c r="R394" s="256" t="s">
        <v>14</v>
      </c>
      <c r="S394" s="256">
        <v>1</v>
      </c>
      <c r="T394" s="285"/>
      <c r="AE394" s="261"/>
    </row>
    <row r="395" spans="3:31" x14ac:dyDescent="0.25">
      <c r="C395" s="399"/>
      <c r="D395" s="256">
        <v>-10.494320334329981</v>
      </c>
      <c r="E395" s="256">
        <v>3555.5247802211434</v>
      </c>
      <c r="F395" s="256">
        <v>-20.968689489317065</v>
      </c>
      <c r="G395" s="256">
        <v>3705.1586252923876</v>
      </c>
      <c r="H395" s="256" t="s">
        <v>11</v>
      </c>
      <c r="I395" s="261">
        <v>1</v>
      </c>
      <c r="M395" s="399"/>
      <c r="N395" s="256">
        <f>P386</f>
        <v>-1555</v>
      </c>
      <c r="O395" s="256">
        <f>O390+Parametry!F29/2</f>
        <v>3645.8140275378728</v>
      </c>
      <c r="P395" s="256">
        <f>P394</f>
        <v>-845</v>
      </c>
      <c r="Q395" s="256">
        <f>O395</f>
        <v>3645.8140275378728</v>
      </c>
      <c r="R395" s="256" t="s">
        <v>428</v>
      </c>
      <c r="S395" s="256">
        <v>5</v>
      </c>
      <c r="T395" s="285"/>
      <c r="AE395" s="261"/>
    </row>
    <row r="396" spans="3:31" x14ac:dyDescent="0.25">
      <c r="C396" s="399"/>
      <c r="D396" s="256">
        <v>-20.968689489317065</v>
      </c>
      <c r="E396" s="256">
        <v>3705.1586252923876</v>
      </c>
      <c r="F396" s="256">
        <v>-25.457704841454383</v>
      </c>
      <c r="G396" s="256">
        <v>3704.8443942177382</v>
      </c>
      <c r="H396" s="256" t="s">
        <v>11</v>
      </c>
      <c r="I396" s="261">
        <v>1</v>
      </c>
      <c r="M396" s="399"/>
      <c r="N396" s="256">
        <f>N395</f>
        <v>-1555</v>
      </c>
      <c r="O396" s="256">
        <f>O385-Parametry!E58*Parametry!F29</f>
        <v>3477.8140275378728</v>
      </c>
      <c r="P396" s="256">
        <f>N396</f>
        <v>-1555</v>
      </c>
      <c r="Q396" s="256">
        <f>Q385+Parametry!F29*Parametry!E58</f>
        <v>3813.8140275378728</v>
      </c>
      <c r="R396" s="256" t="s">
        <v>427</v>
      </c>
      <c r="S396" s="256">
        <v>12</v>
      </c>
      <c r="T396" s="285"/>
      <c r="AE396" s="261"/>
    </row>
    <row r="397" spans="3:31" ht="15.75" thickBot="1" x14ac:dyDescent="0.3">
      <c r="C397" s="399"/>
      <c r="D397" s="256">
        <v>-85.311242869951982</v>
      </c>
      <c r="E397" s="256">
        <v>3550.2875956436501</v>
      </c>
      <c r="F397" s="256">
        <v>-85.625473944601595</v>
      </c>
      <c r="G397" s="256">
        <v>3554.7766109957875</v>
      </c>
      <c r="H397" s="256" t="s">
        <v>11</v>
      </c>
      <c r="I397" s="261">
        <v>1</v>
      </c>
      <c r="M397" s="400"/>
      <c r="N397" s="264">
        <f>P395</f>
        <v>-845</v>
      </c>
      <c r="O397" s="264">
        <f>O396</f>
        <v>3477.8140275378728</v>
      </c>
      <c r="P397" s="264">
        <f>N397</f>
        <v>-845</v>
      </c>
      <c r="Q397" s="264">
        <f>Q396</f>
        <v>3813.8140275378728</v>
      </c>
      <c r="R397" s="264" t="s">
        <v>427</v>
      </c>
      <c r="S397" s="264">
        <v>12</v>
      </c>
      <c r="T397" s="309"/>
      <c r="AE397" s="261"/>
    </row>
    <row r="398" spans="3:31" x14ac:dyDescent="0.25">
      <c r="C398" s="399"/>
      <c r="D398" s="256">
        <v>-30.560218958383807</v>
      </c>
      <c r="E398" s="256">
        <v>3698.9737596961095</v>
      </c>
      <c r="F398" s="256">
        <v>-21.93632168744444</v>
      </c>
      <c r="G398" s="256">
        <v>3575.7752272541184</v>
      </c>
      <c r="H398" s="256" t="s">
        <v>11</v>
      </c>
      <c r="I398" s="261">
        <v>1</v>
      </c>
      <c r="M398" s="391" t="s">
        <v>469</v>
      </c>
      <c r="N398" s="258">
        <f>N322-Parametry!I50/2</f>
        <v>-1275</v>
      </c>
      <c r="O398" s="258">
        <f>O385</f>
        <v>3525.8140275378728</v>
      </c>
      <c r="P398" s="258">
        <f>N398</f>
        <v>-1275</v>
      </c>
      <c r="Q398" s="258">
        <f>O398+Parametry!G50</f>
        <v>3555.8140275378728</v>
      </c>
      <c r="R398" s="258" t="s">
        <v>12</v>
      </c>
      <c r="S398" s="258">
        <v>2</v>
      </c>
      <c r="T398" s="295"/>
      <c r="AE398" s="261"/>
    </row>
    <row r="399" spans="3:31" x14ac:dyDescent="0.25">
      <c r="C399" s="399"/>
      <c r="D399" s="256">
        <v>-80.522959827672182</v>
      </c>
      <c r="E399" s="256">
        <v>3560.6472455174157</v>
      </c>
      <c r="F399" s="256">
        <v>-32.141349921303281</v>
      </c>
      <c r="G399" s="256">
        <v>3564.0339582108618</v>
      </c>
      <c r="H399" s="256" t="s">
        <v>11</v>
      </c>
      <c r="I399" s="261">
        <v>1</v>
      </c>
      <c r="M399" s="399"/>
      <c r="N399" s="256">
        <f>N322+Parametry!I50/2</f>
        <v>-1125</v>
      </c>
      <c r="O399" s="256">
        <f>O398</f>
        <v>3525.8140275378728</v>
      </c>
      <c r="P399" s="256">
        <f>N399</f>
        <v>-1125</v>
      </c>
      <c r="Q399" s="256">
        <f>Q398</f>
        <v>3555.8140275378728</v>
      </c>
      <c r="R399" s="256" t="s">
        <v>12</v>
      </c>
      <c r="S399" s="256">
        <v>2</v>
      </c>
      <c r="T399" s="285"/>
      <c r="AE399" s="261"/>
    </row>
    <row r="400" spans="3:31" x14ac:dyDescent="0.25">
      <c r="C400" s="399"/>
      <c r="D400" s="256">
        <v>-103.4668160719296</v>
      </c>
      <c r="E400" s="256">
        <v>3639.2369360667672</v>
      </c>
      <c r="F400" s="256">
        <v>76.093798013563202</v>
      </c>
      <c r="G400" s="256">
        <v>3651.8061790527518</v>
      </c>
      <c r="H400" s="256" t="s">
        <v>9</v>
      </c>
      <c r="I400" s="261">
        <v>2</v>
      </c>
      <c r="M400" s="399"/>
      <c r="N400" s="256" cm="1">
        <f t="array" ref="N400:O400">P398:Q398</f>
        <v>-1275</v>
      </c>
      <c r="O400" s="256">
        <v>3555.8140275378728</v>
      </c>
      <c r="P400" s="256">
        <f>P405</f>
        <v>-1205</v>
      </c>
      <c r="Q400" s="256">
        <f>O400</f>
        <v>3555.8140275378728</v>
      </c>
      <c r="R400" s="256" t="s">
        <v>12</v>
      </c>
      <c r="S400" s="256">
        <v>2</v>
      </c>
      <c r="T400" s="285"/>
      <c r="AE400" s="261"/>
    </row>
    <row r="401" spans="3:31" x14ac:dyDescent="0.25">
      <c r="C401" s="399"/>
      <c r="D401" s="256">
        <v>2.9547696606734313</v>
      </c>
      <c r="E401" s="256">
        <v>3624.0311447306276</v>
      </c>
      <c r="F401" s="256">
        <v>4.6167028999313828</v>
      </c>
      <c r="G401" s="256">
        <v>3600.2892413126569</v>
      </c>
      <c r="H401" s="256" t="s">
        <v>14</v>
      </c>
      <c r="I401" s="261">
        <v>1</v>
      </c>
      <c r="M401" s="399"/>
      <c r="N401" s="256" cm="1">
        <f t="array" ref="N401:O401">P399:Q399</f>
        <v>-1125</v>
      </c>
      <c r="O401" s="256">
        <v>3555.8140275378728</v>
      </c>
      <c r="P401" s="256">
        <f>P406</f>
        <v>-1195</v>
      </c>
      <c r="Q401" s="256">
        <f>O401</f>
        <v>3555.8140275378728</v>
      </c>
      <c r="R401" s="256" t="s">
        <v>12</v>
      </c>
      <c r="S401" s="256">
        <v>2</v>
      </c>
      <c r="T401" s="285"/>
      <c r="AE401" s="261"/>
    </row>
    <row r="402" spans="3:31" ht="15.75" thickBot="1" x14ac:dyDescent="0.3">
      <c r="C402" s="399"/>
      <c r="D402" s="256">
        <v>4.6167028999313828</v>
      </c>
      <c r="E402" s="256">
        <v>3600.2892413126569</v>
      </c>
      <c r="F402" s="256">
        <v>2.7612432210479554</v>
      </c>
      <c r="G402" s="256">
        <v>3598.1544651229738</v>
      </c>
      <c r="H402" s="256" t="s">
        <v>14</v>
      </c>
      <c r="I402" s="261">
        <v>1</v>
      </c>
      <c r="M402" s="400"/>
      <c r="N402" s="264" cm="1">
        <f t="array" ref="N402:O402">P401:Q401</f>
        <v>-1195</v>
      </c>
      <c r="O402" s="264">
        <v>3555.8140275378728</v>
      </c>
      <c r="P402" s="264" cm="1">
        <f t="array" ref="P402:Q402">P400:Q400</f>
        <v>-1205</v>
      </c>
      <c r="Q402" s="264">
        <v>3555.8140275378728</v>
      </c>
      <c r="R402" s="264" t="s">
        <v>11</v>
      </c>
      <c r="S402" s="264">
        <v>1</v>
      </c>
      <c r="T402" s="309"/>
      <c r="AE402" s="261"/>
    </row>
    <row r="403" spans="3:31" x14ac:dyDescent="0.25">
      <c r="C403" s="399"/>
      <c r="D403" s="256">
        <v>2.9547696606734313</v>
      </c>
      <c r="E403" s="256">
        <v>3624.0311447306276</v>
      </c>
      <c r="F403" s="256">
        <v>0.81999347099034914</v>
      </c>
      <c r="G403" s="256">
        <v>3625.8866044095112</v>
      </c>
      <c r="H403" s="256" t="s">
        <v>14</v>
      </c>
      <c r="I403" s="261">
        <v>1</v>
      </c>
      <c r="M403" s="391" t="s">
        <v>470</v>
      </c>
      <c r="N403" s="257">
        <f>N322-Parametry!I50/2+Parametry!E60</f>
        <v>-1270</v>
      </c>
      <c r="O403" s="258">
        <f>O400</f>
        <v>3555.8140275378728</v>
      </c>
      <c r="P403" s="258">
        <f>N403</f>
        <v>-1270</v>
      </c>
      <c r="Q403" s="258">
        <f>O403+Parametry!F36</f>
        <v>3705.8140275378728</v>
      </c>
      <c r="R403" s="258" t="s">
        <v>12</v>
      </c>
      <c r="S403" s="258">
        <v>2</v>
      </c>
      <c r="T403" s="295"/>
      <c r="V403" s="394" t="s">
        <v>472</v>
      </c>
      <c r="W403" s="395"/>
      <c r="X403" s="395"/>
      <c r="Y403" s="395"/>
      <c r="Z403" s="396"/>
      <c r="AE403" s="261"/>
    </row>
    <row r="404" spans="3:31" x14ac:dyDescent="0.25">
      <c r="C404" s="399"/>
      <c r="D404" s="256">
        <v>2.7612432210479554</v>
      </c>
      <c r="E404" s="256">
        <v>3598.1544651229738</v>
      </c>
      <c r="F404" s="256">
        <v>-5.2192285160850567</v>
      </c>
      <c r="G404" s="256">
        <v>3597.5958321013745</v>
      </c>
      <c r="H404" s="256" t="s">
        <v>14</v>
      </c>
      <c r="I404" s="261">
        <v>1</v>
      </c>
      <c r="M404" s="399"/>
      <c r="N404" s="260">
        <f>N399-Parametry!E60</f>
        <v>-1130</v>
      </c>
      <c r="O404" s="256">
        <f>O403</f>
        <v>3555.8140275378728</v>
      </c>
      <c r="P404" s="256">
        <f>N404</f>
        <v>-1130</v>
      </c>
      <c r="Q404" s="256">
        <f>Q403</f>
        <v>3705.8140275378728</v>
      </c>
      <c r="R404" s="256" t="s">
        <v>12</v>
      </c>
      <c r="S404" s="256">
        <v>2</v>
      </c>
      <c r="T404" s="285"/>
      <c r="V404" s="271" t="s">
        <v>83</v>
      </c>
      <c r="W404" s="266" t="s">
        <v>84</v>
      </c>
      <c r="X404" s="266" t="s">
        <v>101</v>
      </c>
      <c r="Y404" s="266" t="s">
        <v>97</v>
      </c>
      <c r="Z404" s="293" t="s">
        <v>19</v>
      </c>
      <c r="AE404" s="261"/>
    </row>
    <row r="405" spans="3:31" x14ac:dyDescent="0.25">
      <c r="C405" s="399"/>
      <c r="D405" s="256">
        <v>0.81999347099034914</v>
      </c>
      <c r="E405" s="256">
        <v>3625.8866044095112</v>
      </c>
      <c r="F405" s="256">
        <v>-7.1604782661426647</v>
      </c>
      <c r="G405" s="256">
        <v>3625.3279713879119</v>
      </c>
      <c r="H405" s="256" t="s">
        <v>14</v>
      </c>
      <c r="I405" s="261">
        <v>1</v>
      </c>
      <c r="M405" s="399"/>
      <c r="N405" s="260" cm="1">
        <f t="array" ref="N405:O405">P403:Q403</f>
        <v>-1270</v>
      </c>
      <c r="O405" s="256">
        <v>3705.8140275378728</v>
      </c>
      <c r="P405" s="256">
        <f>N322-Parametry!E51/2</f>
        <v>-1205</v>
      </c>
      <c r="Q405" s="256">
        <f>O405</f>
        <v>3705.8140275378728</v>
      </c>
      <c r="R405" s="256" t="s">
        <v>12</v>
      </c>
      <c r="S405" s="256">
        <v>2</v>
      </c>
      <c r="T405" s="285"/>
      <c r="V405" s="260">
        <f>N322-Parametry!H51/4</f>
        <v>-1235</v>
      </c>
      <c r="W405" s="256">
        <f>Q395+Z226</f>
        <v>3611.3140275378728</v>
      </c>
      <c r="X405" s="256">
        <f>Parametry!$E$61</f>
        <v>9</v>
      </c>
      <c r="Y405" s="256" t="s">
        <v>11</v>
      </c>
      <c r="Z405" s="261">
        <v>1</v>
      </c>
      <c r="AE405" s="261"/>
    </row>
    <row r="406" spans="3:31" ht="15.75" thickBot="1" x14ac:dyDescent="0.3">
      <c r="C406" s="399"/>
      <c r="D406" s="256">
        <v>-7.5096239046422353</v>
      </c>
      <c r="E406" s="256">
        <v>3630.3157662236199</v>
      </c>
      <c r="F406" s="256">
        <v>-4.8700828775854861</v>
      </c>
      <c r="G406" s="256">
        <v>3592.6080372656666</v>
      </c>
      <c r="H406" s="256" t="s">
        <v>14</v>
      </c>
      <c r="I406" s="261">
        <v>1</v>
      </c>
      <c r="M406" s="399"/>
      <c r="N406" s="263" cm="1">
        <f t="array" ref="N406:O406">P404:Q404</f>
        <v>-1130</v>
      </c>
      <c r="O406" s="264">
        <v>3705.8140275378728</v>
      </c>
      <c r="P406" s="264">
        <f>N322+Parametry!E51/2</f>
        <v>-1195</v>
      </c>
      <c r="Q406" s="264">
        <f>O406</f>
        <v>3705.8140275378728</v>
      </c>
      <c r="R406" s="264" t="s">
        <v>12</v>
      </c>
      <c r="S406" s="264">
        <v>2</v>
      </c>
      <c r="T406" s="309"/>
      <c r="V406" s="260">
        <f>V405</f>
        <v>-1235</v>
      </c>
      <c r="W406" s="256">
        <f>Q395-Z226</f>
        <v>3680.3140275378728</v>
      </c>
      <c r="X406" s="256">
        <f>Parametry!$E$61</f>
        <v>9</v>
      </c>
      <c r="Y406" s="256" t="s">
        <v>11</v>
      </c>
      <c r="Z406" s="261">
        <v>1</v>
      </c>
      <c r="AE406" s="261"/>
    </row>
    <row r="407" spans="3:31" ht="15.75" thickBot="1" x14ac:dyDescent="0.3">
      <c r="C407" s="399"/>
      <c r="D407" s="256">
        <v>-7.5096239046422353</v>
      </c>
      <c r="E407" s="256">
        <v>3630.3157662236199</v>
      </c>
      <c r="F407" s="256">
        <v>-9.5047418389254883</v>
      </c>
      <c r="G407" s="256">
        <v>3630.1761079682201</v>
      </c>
      <c r="H407" s="256" t="s">
        <v>14</v>
      </c>
      <c r="I407" s="261">
        <v>1</v>
      </c>
      <c r="M407" s="399"/>
      <c r="N407" s="277" cm="1">
        <f t="array" ref="N407:O407">P405:Q405</f>
        <v>-1205</v>
      </c>
      <c r="O407" s="320">
        <v>3705.8140275378728</v>
      </c>
      <c r="P407" s="320" cm="1">
        <f t="array" ref="P407:Q407">P406:Q406</f>
        <v>-1195</v>
      </c>
      <c r="Q407" s="320">
        <v>3705.8140275378728</v>
      </c>
      <c r="R407" s="320" t="s">
        <v>11</v>
      </c>
      <c r="S407" s="320">
        <v>1</v>
      </c>
      <c r="T407" s="315"/>
      <c r="V407" s="260">
        <f>N322+Parametry!H51/4</f>
        <v>-1165</v>
      </c>
      <c r="W407" s="256">
        <f>W405</f>
        <v>3611.3140275378728</v>
      </c>
      <c r="X407" s="256">
        <f>Parametry!$E$61</f>
        <v>9</v>
      </c>
      <c r="Y407" s="256" t="s">
        <v>11</v>
      </c>
      <c r="Z407" s="261">
        <v>1</v>
      </c>
      <c r="AE407" s="261"/>
    </row>
    <row r="408" spans="3:31" ht="15.75" thickBot="1" x14ac:dyDescent="0.3">
      <c r="C408" s="399"/>
      <c r="D408" s="256">
        <v>-4.8700828775854861</v>
      </c>
      <c r="E408" s="256">
        <v>3592.6080372656666</v>
      </c>
      <c r="F408" s="256">
        <v>-6.8652008118687409</v>
      </c>
      <c r="G408" s="256">
        <v>3592.4683790102667</v>
      </c>
      <c r="H408" s="256" t="s">
        <v>14</v>
      </c>
      <c r="I408" s="261">
        <v>1</v>
      </c>
      <c r="M408" s="399"/>
      <c r="N408" s="257">
        <f>V405-Parametry!E62</f>
        <v>-1249</v>
      </c>
      <c r="O408" s="258">
        <f>W405</f>
        <v>3611.3140275378728</v>
      </c>
      <c r="P408" s="258">
        <f>V405+Parametry!E62</f>
        <v>-1221</v>
      </c>
      <c r="Q408" s="258">
        <f>O408</f>
        <v>3611.3140275378728</v>
      </c>
      <c r="R408" s="258" t="s">
        <v>372</v>
      </c>
      <c r="S408" s="258">
        <v>1</v>
      </c>
      <c r="T408" s="295"/>
      <c r="V408" s="263">
        <f>V407</f>
        <v>-1165</v>
      </c>
      <c r="W408" s="264">
        <f>W406</f>
        <v>3680.3140275378728</v>
      </c>
      <c r="X408" s="264">
        <f>Parametry!$E$61</f>
        <v>9</v>
      </c>
      <c r="Y408" s="264" t="s">
        <v>11</v>
      </c>
      <c r="Z408" s="265">
        <v>1</v>
      </c>
      <c r="AE408" s="261"/>
    </row>
    <row r="409" spans="3:31" x14ac:dyDescent="0.25">
      <c r="C409" s="399"/>
      <c r="D409" s="256">
        <v>-9.5047418389254883</v>
      </c>
      <c r="E409" s="256">
        <v>3630.1761079682201</v>
      </c>
      <c r="F409" s="256">
        <v>-6.8652008118687409</v>
      </c>
      <c r="G409" s="256">
        <v>3592.4683790102667</v>
      </c>
      <c r="H409" s="256" t="s">
        <v>14</v>
      </c>
      <c r="I409" s="261">
        <v>1</v>
      </c>
      <c r="M409" s="399"/>
      <c r="N409" s="260">
        <f>V405</f>
        <v>-1235</v>
      </c>
      <c r="O409" s="256">
        <f>W405-Parametry!E62</f>
        <v>3597.3140275378728</v>
      </c>
      <c r="P409" s="256">
        <f>V405</f>
        <v>-1235</v>
      </c>
      <c r="Q409" s="256">
        <f>W405+Parametry!E62</f>
        <v>3625.3140275378728</v>
      </c>
      <c r="R409" s="256" t="s">
        <v>372</v>
      </c>
      <c r="S409" s="256">
        <v>1</v>
      </c>
      <c r="T409" s="285"/>
      <c r="AE409" s="261"/>
    </row>
    <row r="410" spans="3:31" x14ac:dyDescent="0.25">
      <c r="C410" s="399"/>
      <c r="D410" s="256">
        <v>3.3004238427880059</v>
      </c>
      <c r="E410" s="256">
        <v>3619.0932278432765</v>
      </c>
      <c r="F410" s="256">
        <v>-6.6751658286282618</v>
      </c>
      <c r="G410" s="256">
        <v>3618.3949365662775</v>
      </c>
      <c r="H410" s="256" t="s">
        <v>14</v>
      </c>
      <c r="I410" s="261">
        <v>1</v>
      </c>
      <c r="M410" s="399"/>
      <c r="N410" s="260" cm="1">
        <f t="array" ref="N410:N411">N408:N409</f>
        <v>-1249</v>
      </c>
      <c r="O410" s="256">
        <f>W406</f>
        <v>3680.3140275378728</v>
      </c>
      <c r="P410" s="256" cm="1">
        <f t="array" ref="P410:P411">P408:P409</f>
        <v>-1221</v>
      </c>
      <c r="Q410" s="256">
        <f>O410</f>
        <v>3680.3140275378728</v>
      </c>
      <c r="R410" s="256" t="s">
        <v>372</v>
      </c>
      <c r="S410" s="256">
        <v>1</v>
      </c>
      <c r="T410" s="285"/>
      <c r="AE410" s="261"/>
    </row>
    <row r="411" spans="3:31" ht="15.75" thickBot="1" x14ac:dyDescent="0.3">
      <c r="C411" s="399"/>
      <c r="D411" s="256">
        <v>4.2710487178168091</v>
      </c>
      <c r="E411" s="256">
        <v>3605.227158200008</v>
      </c>
      <c r="F411" s="256">
        <v>-5.7045409535994587</v>
      </c>
      <c r="G411" s="256">
        <v>3604.528866923009</v>
      </c>
      <c r="H411" s="256" t="s">
        <v>14</v>
      </c>
      <c r="I411" s="261">
        <v>1</v>
      </c>
      <c r="M411" s="399"/>
      <c r="N411" s="260">
        <v>-1235</v>
      </c>
      <c r="O411" s="256">
        <f>O410-Parametry!E62</f>
        <v>3666.3140275378728</v>
      </c>
      <c r="P411" s="256">
        <v>-1235</v>
      </c>
      <c r="Q411" s="256">
        <f>Q410+Parametry!E62</f>
        <v>3694.3140275378728</v>
      </c>
      <c r="R411" s="256" t="s">
        <v>372</v>
      </c>
      <c r="S411" s="256">
        <v>1</v>
      </c>
      <c r="T411" s="285"/>
      <c r="AE411" s="261"/>
    </row>
    <row r="412" spans="3:31" x14ac:dyDescent="0.25">
      <c r="C412" s="399"/>
      <c r="D412" s="256">
        <v>-8.7436043469964257</v>
      </c>
      <c r="E412" s="256">
        <v>3619.3027152263762</v>
      </c>
      <c r="F412" s="256">
        <v>-24.904059614690777</v>
      </c>
      <c r="G412" s="256">
        <v>3618.1714833576375</v>
      </c>
      <c r="H412" s="256" t="s">
        <v>427</v>
      </c>
      <c r="I412" s="261">
        <v>1.5</v>
      </c>
      <c r="M412" s="399"/>
      <c r="N412" s="260">
        <f>V407-Parametry!E62</f>
        <v>-1179</v>
      </c>
      <c r="O412" s="256" cm="1">
        <f t="array" ref="O412:O413">O410:O411</f>
        <v>3680.3140275378728</v>
      </c>
      <c r="P412" s="256">
        <f>V408+Parametry!E62</f>
        <v>-1151</v>
      </c>
      <c r="Q412" s="256" cm="1">
        <f t="array" ref="Q412:Q413">Q410:Q411</f>
        <v>3680.3140275378728</v>
      </c>
      <c r="R412" s="256" t="s">
        <v>372</v>
      </c>
      <c r="S412" s="256">
        <v>1</v>
      </c>
      <c r="T412" s="285"/>
      <c r="V412" s="394" t="s">
        <v>475</v>
      </c>
      <c r="W412" s="396"/>
      <c r="AE412" s="261"/>
    </row>
    <row r="413" spans="3:31" x14ac:dyDescent="0.25">
      <c r="C413" s="399"/>
      <c r="D413" s="256">
        <v>-7.6263383037978034</v>
      </c>
      <c r="E413" s="256">
        <v>3603.3417717521102</v>
      </c>
      <c r="F413" s="256">
        <v>-23.786793571492154</v>
      </c>
      <c r="G413" s="256">
        <v>3602.2105398833714</v>
      </c>
      <c r="H413" s="256" t="s">
        <v>427</v>
      </c>
      <c r="I413" s="261">
        <v>1.5</v>
      </c>
      <c r="M413" s="399"/>
      <c r="N413" s="260">
        <f>V408</f>
        <v>-1165</v>
      </c>
      <c r="O413" s="256">
        <v>3666.3140275378728</v>
      </c>
      <c r="P413" s="256">
        <f>V408</f>
        <v>-1165</v>
      </c>
      <c r="Q413" s="256">
        <v>3694.3140275378728</v>
      </c>
      <c r="R413" s="256" t="s">
        <v>372</v>
      </c>
      <c r="S413" s="256">
        <v>1</v>
      </c>
      <c r="T413" s="285"/>
      <c r="V413" s="271" t="s">
        <v>83</v>
      </c>
      <c r="W413" s="293" t="s">
        <v>84</v>
      </c>
      <c r="AE413" s="261"/>
    </row>
    <row r="414" spans="3:31" x14ac:dyDescent="0.25">
      <c r="C414" s="399"/>
      <c r="D414" s="256">
        <v>-25.665197106619843</v>
      </c>
      <c r="E414" s="256">
        <v>3629.0448760994814</v>
      </c>
      <c r="F414" s="256">
        <v>-23.025656079563092</v>
      </c>
      <c r="G414" s="256">
        <v>3591.337147141528</v>
      </c>
      <c r="H414" s="256" t="s">
        <v>14</v>
      </c>
      <c r="I414" s="261">
        <v>1</v>
      </c>
      <c r="M414" s="399"/>
      <c r="N414" s="260" cm="1">
        <f t="array" ref="N414:N415">N412:N413</f>
        <v>-1179</v>
      </c>
      <c r="O414" s="256" cm="1">
        <f t="array" ref="O414:O415">O408:O409</f>
        <v>3611.3140275378728</v>
      </c>
      <c r="P414" s="256" cm="1">
        <f t="array" ref="P414:P415">P412:P413</f>
        <v>-1151</v>
      </c>
      <c r="Q414" s="256" cm="1">
        <f t="array" ref="Q414:Q415">Q408:Q409</f>
        <v>3611.3140275378728</v>
      </c>
      <c r="R414" s="256" t="s">
        <v>372</v>
      </c>
      <c r="S414" s="256">
        <v>1</v>
      </c>
      <c r="T414" s="285"/>
      <c r="V414" s="260">
        <f>N322-Parametry!R40/2</f>
        <v>-1270</v>
      </c>
      <c r="W414" s="261">
        <f>O324</f>
        <v>3096</v>
      </c>
      <c r="AE414" s="261"/>
    </row>
    <row r="415" spans="3:31" ht="15.75" thickBot="1" x14ac:dyDescent="0.3">
      <c r="C415" s="399"/>
      <c r="D415" s="256">
        <v>-25.665197106619843</v>
      </c>
      <c r="E415" s="256">
        <v>3629.0448760994814</v>
      </c>
      <c r="F415" s="256">
        <v>-27.660315040903097</v>
      </c>
      <c r="G415" s="256">
        <v>3628.9052178440816</v>
      </c>
      <c r="H415" s="256" t="s">
        <v>14</v>
      </c>
      <c r="I415" s="261">
        <v>1</v>
      </c>
      <c r="M415" s="400"/>
      <c r="N415" s="263">
        <v>-1165</v>
      </c>
      <c r="O415" s="264">
        <v>3597.3140275378728</v>
      </c>
      <c r="P415" s="264">
        <v>-1165</v>
      </c>
      <c r="Q415" s="264">
        <v>3625.3140275378728</v>
      </c>
      <c r="R415" s="264" t="s">
        <v>372</v>
      </c>
      <c r="S415" s="264">
        <v>1</v>
      </c>
      <c r="T415" s="309"/>
      <c r="V415" s="263">
        <f>N322+Parametry!R40/2</f>
        <v>-1130</v>
      </c>
      <c r="W415" s="265">
        <f>W414</f>
        <v>3096</v>
      </c>
      <c r="AE415" s="261"/>
    </row>
    <row r="416" spans="3:31" x14ac:dyDescent="0.25">
      <c r="C416" s="399"/>
      <c r="D416" s="256">
        <v>-23.025656079563092</v>
      </c>
      <c r="E416" s="256">
        <v>3591.337147141528</v>
      </c>
      <c r="F416" s="256">
        <v>-25.020774013846346</v>
      </c>
      <c r="G416" s="256">
        <v>3591.1974888861282</v>
      </c>
      <c r="H416" s="256" t="s">
        <v>14</v>
      </c>
      <c r="I416" s="261">
        <v>1</v>
      </c>
      <c r="M416" s="391" t="s">
        <v>476</v>
      </c>
      <c r="N416" s="258" cm="1">
        <f t="array" ref="N416:N447">V414+M225:M256</f>
        <v>-1285.2</v>
      </c>
      <c r="O416" s="258" cm="1">
        <f t="array" ref="O416:O447">W414+N225:N256</f>
        <v>3110.5</v>
      </c>
      <c r="P416" s="258" cm="1">
        <f t="array" ref="P416:P447">V414+O225:O256</f>
        <v>-1254.8</v>
      </c>
      <c r="Q416" s="258" cm="1">
        <f t="array" ref="Q416:Q447">W414+P225:P256</f>
        <v>3110.5</v>
      </c>
      <c r="R416" s="258" t="s">
        <v>15</v>
      </c>
      <c r="S416" s="258">
        <v>1</v>
      </c>
      <c r="T416" s="295"/>
      <c r="AE416" s="261"/>
    </row>
    <row r="417" spans="3:31" x14ac:dyDescent="0.25">
      <c r="C417" s="399"/>
      <c r="D417" s="256">
        <v>-27.660315040903097</v>
      </c>
      <c r="E417" s="256">
        <v>3628.9052178440816</v>
      </c>
      <c r="F417" s="256">
        <v>-25.020774013846346</v>
      </c>
      <c r="G417" s="256">
        <v>3591.1974888861282</v>
      </c>
      <c r="H417" s="256" t="s">
        <v>14</v>
      </c>
      <c r="I417" s="261">
        <v>1</v>
      </c>
      <c r="M417" s="399"/>
      <c r="N417" s="256">
        <v>-1254.8</v>
      </c>
      <c r="O417" s="256">
        <v>3110.5</v>
      </c>
      <c r="P417" s="256">
        <v>-1252.8</v>
      </c>
      <c r="Q417" s="256">
        <v>3108.5</v>
      </c>
      <c r="R417" s="256" t="s">
        <v>15</v>
      </c>
      <c r="S417" s="256">
        <v>1</v>
      </c>
      <c r="T417" s="285"/>
      <c r="AE417" s="261"/>
    </row>
    <row r="418" spans="3:31" x14ac:dyDescent="0.25">
      <c r="C418" s="399"/>
      <c r="D418" s="256">
        <v>-27.171511147003695</v>
      </c>
      <c r="E418" s="256">
        <v>3621.9223050740902</v>
      </c>
      <c r="F418" s="256">
        <v>-29.306287336686776</v>
      </c>
      <c r="G418" s="256">
        <v>3623.7777647529738</v>
      </c>
      <c r="H418" s="256" t="s">
        <v>14</v>
      </c>
      <c r="I418" s="261">
        <v>1</v>
      </c>
      <c r="M418" s="399"/>
      <c r="N418" s="256">
        <v>-1285.2</v>
      </c>
      <c r="O418" s="256">
        <v>3110.5</v>
      </c>
      <c r="P418" s="256">
        <v>-1287.2</v>
      </c>
      <c r="Q418" s="256">
        <v>3108.5</v>
      </c>
      <c r="R418" s="256" t="s">
        <v>15</v>
      </c>
      <c r="S418" s="256">
        <v>1</v>
      </c>
      <c r="T418" s="285"/>
      <c r="AE418" s="261"/>
    </row>
    <row r="419" spans="3:31" x14ac:dyDescent="0.25">
      <c r="C419" s="399"/>
      <c r="D419" s="256">
        <v>-25.509577907745744</v>
      </c>
      <c r="E419" s="256">
        <v>3598.1804016561196</v>
      </c>
      <c r="F419" s="256">
        <v>-27.365037586629171</v>
      </c>
      <c r="G419" s="256">
        <v>3596.0456254664364</v>
      </c>
      <c r="H419" s="256" t="s">
        <v>14</v>
      </c>
      <c r="I419" s="261">
        <v>1</v>
      </c>
      <c r="M419" s="399"/>
      <c r="N419" s="256">
        <v>-1252.8</v>
      </c>
      <c r="O419" s="256">
        <v>3108.5</v>
      </c>
      <c r="P419" s="256">
        <v>-1252.8</v>
      </c>
      <c r="Q419" s="256">
        <v>3098</v>
      </c>
      <c r="R419" s="256" t="s">
        <v>15</v>
      </c>
      <c r="S419" s="256">
        <v>1</v>
      </c>
      <c r="T419" s="285"/>
      <c r="AE419" s="261"/>
    </row>
    <row r="420" spans="3:31" x14ac:dyDescent="0.25">
      <c r="C420" s="399"/>
      <c r="D420" s="256">
        <v>-27.365037586629171</v>
      </c>
      <c r="E420" s="256">
        <v>3596.0456254664364</v>
      </c>
      <c r="F420" s="256">
        <v>-36.343068290903808</v>
      </c>
      <c r="G420" s="256">
        <v>3595.4171633171372</v>
      </c>
      <c r="H420" s="256" t="s">
        <v>14</v>
      </c>
      <c r="I420" s="261">
        <v>1</v>
      </c>
      <c r="M420" s="399"/>
      <c r="N420" s="256">
        <v>-1287.2</v>
      </c>
      <c r="O420" s="256">
        <v>3108.5</v>
      </c>
      <c r="P420" s="256">
        <v>-1287.2</v>
      </c>
      <c r="Q420" s="256">
        <v>3098</v>
      </c>
      <c r="R420" s="256" t="s">
        <v>15</v>
      </c>
      <c r="S420" s="256">
        <v>1</v>
      </c>
      <c r="T420" s="285"/>
      <c r="AE420" s="261"/>
    </row>
    <row r="421" spans="3:31" x14ac:dyDescent="0.25">
      <c r="C421" s="399"/>
      <c r="D421" s="256">
        <v>-29.306287336686776</v>
      </c>
      <c r="E421" s="256">
        <v>3623.7777647529738</v>
      </c>
      <c r="F421" s="256">
        <v>-38.284318040961416</v>
      </c>
      <c r="G421" s="256">
        <v>3623.1493026036746</v>
      </c>
      <c r="H421" s="256" t="s">
        <v>14</v>
      </c>
      <c r="I421" s="261">
        <v>1</v>
      </c>
      <c r="M421" s="399"/>
      <c r="N421" s="256">
        <v>-1292.2</v>
      </c>
      <c r="O421" s="256">
        <v>3098</v>
      </c>
      <c r="P421" s="256">
        <v>-1247.8</v>
      </c>
      <c r="Q421" s="256">
        <v>3098</v>
      </c>
      <c r="R421" s="256" t="s">
        <v>15</v>
      </c>
      <c r="S421" s="256">
        <v>1</v>
      </c>
      <c r="T421" s="285"/>
      <c r="AE421" s="261"/>
    </row>
    <row r="422" spans="3:31" x14ac:dyDescent="0.25">
      <c r="C422" s="399"/>
      <c r="D422" s="256">
        <v>-38.284318040961416</v>
      </c>
      <c r="E422" s="256">
        <v>3623.1493026036746</v>
      </c>
      <c r="F422" s="256">
        <v>-40.139777719844844</v>
      </c>
      <c r="G422" s="256">
        <v>3621.0145264139915</v>
      </c>
      <c r="H422" s="256" t="s">
        <v>14</v>
      </c>
      <c r="I422" s="261">
        <v>1</v>
      </c>
      <c r="M422" s="399"/>
      <c r="N422" s="256">
        <v>-1292.2</v>
      </c>
      <c r="O422" s="256">
        <v>3098</v>
      </c>
      <c r="P422" s="256">
        <v>-1292.2</v>
      </c>
      <c r="Q422" s="256">
        <v>3096</v>
      </c>
      <c r="R422" s="256" t="s">
        <v>15</v>
      </c>
      <c r="S422" s="256">
        <v>1</v>
      </c>
      <c r="T422" s="285"/>
      <c r="AE422" s="261"/>
    </row>
    <row r="423" spans="3:31" x14ac:dyDescent="0.25">
      <c r="C423" s="399"/>
      <c r="D423" s="256">
        <v>-36.343068290903808</v>
      </c>
      <c r="E423" s="256">
        <v>3595.4171633171372</v>
      </c>
      <c r="F423" s="256">
        <v>-38.477844480586896</v>
      </c>
      <c r="G423" s="256">
        <v>3597.2726229960208</v>
      </c>
      <c r="H423" s="256" t="s">
        <v>14</v>
      </c>
      <c r="I423" s="261">
        <v>1</v>
      </c>
      <c r="M423" s="399"/>
      <c r="N423" s="256">
        <v>-1247.8</v>
      </c>
      <c r="O423" s="256">
        <v>3098</v>
      </c>
      <c r="P423" s="256">
        <v>-1247.8</v>
      </c>
      <c r="Q423" s="256">
        <v>3096</v>
      </c>
      <c r="R423" s="256" t="s">
        <v>15</v>
      </c>
      <c r="S423" s="256">
        <v>1</v>
      </c>
      <c r="T423" s="285"/>
      <c r="AE423" s="261"/>
    </row>
    <row r="424" spans="3:31" x14ac:dyDescent="0.25">
      <c r="C424" s="399"/>
      <c r="D424" s="256">
        <v>-40.139777719844844</v>
      </c>
      <c r="E424" s="256">
        <v>3621.0145264139915</v>
      </c>
      <c r="F424" s="256">
        <v>-38.477844480586896</v>
      </c>
      <c r="G424" s="256">
        <v>3597.2726229960208</v>
      </c>
      <c r="H424" s="256" t="s">
        <v>14</v>
      </c>
      <c r="I424" s="261">
        <v>1</v>
      </c>
      <c r="M424" s="399"/>
      <c r="N424" s="256">
        <v>-1292.2</v>
      </c>
      <c r="O424" s="256">
        <v>3096</v>
      </c>
      <c r="P424" s="256">
        <v>-1247.8</v>
      </c>
      <c r="Q424" s="256">
        <v>3096</v>
      </c>
      <c r="R424" s="256" t="s">
        <v>15</v>
      </c>
      <c r="S424" s="256">
        <v>1</v>
      </c>
      <c r="T424" s="285"/>
      <c r="AE424" s="261"/>
    </row>
    <row r="425" spans="3:31" x14ac:dyDescent="0.25">
      <c r="C425" s="399"/>
      <c r="D425" s="256">
        <v>-26.82585696488912</v>
      </c>
      <c r="E425" s="256">
        <v>3616.9843881867391</v>
      </c>
      <c r="F425" s="256">
        <v>-39.794123537730272</v>
      </c>
      <c r="G425" s="256">
        <v>3616.0766095266404</v>
      </c>
      <c r="H425" s="256" t="s">
        <v>14</v>
      </c>
      <c r="I425" s="261">
        <v>1</v>
      </c>
      <c r="M425" s="399"/>
      <c r="N425" s="256">
        <v>-1278.5999999999999</v>
      </c>
      <c r="O425" s="256">
        <v>3110.5</v>
      </c>
      <c r="P425" s="256">
        <v>-1278.5999999999999</v>
      </c>
      <c r="Q425" s="256">
        <v>3098</v>
      </c>
      <c r="R425" s="256" t="s">
        <v>15</v>
      </c>
      <c r="S425" s="256">
        <v>1</v>
      </c>
      <c r="T425" s="285"/>
      <c r="AE425" s="261"/>
    </row>
    <row r="426" spans="3:31" x14ac:dyDescent="0.25">
      <c r="C426" s="399"/>
      <c r="D426" s="256">
        <v>-25.855232089860316</v>
      </c>
      <c r="E426" s="256">
        <v>3603.1183185434707</v>
      </c>
      <c r="F426" s="256">
        <v>-38.823498662701468</v>
      </c>
      <c r="G426" s="256">
        <v>3602.2105398833719</v>
      </c>
      <c r="H426" s="256" t="s">
        <v>14</v>
      </c>
      <c r="I426" s="261">
        <v>1</v>
      </c>
      <c r="M426" s="399"/>
      <c r="N426" s="256">
        <v>-1261.4000000000001</v>
      </c>
      <c r="O426" s="256">
        <v>3110.5</v>
      </c>
      <c r="P426" s="256">
        <v>-1261.4000000000001</v>
      </c>
      <c r="Q426" s="256">
        <v>3098</v>
      </c>
      <c r="R426" s="256" t="s">
        <v>15</v>
      </c>
      <c r="S426" s="256">
        <v>1</v>
      </c>
      <c r="T426" s="285"/>
      <c r="AE426" s="261"/>
    </row>
    <row r="427" spans="3:31" x14ac:dyDescent="0.25">
      <c r="C427" s="399"/>
      <c r="D427" s="256">
        <v>-39.867444121815183</v>
      </c>
      <c r="E427" s="256">
        <v>3617.1240464421389</v>
      </c>
      <c r="F427" s="256">
        <v>-44.655727164094984</v>
      </c>
      <c r="G427" s="256">
        <v>3616.7888666291792</v>
      </c>
      <c r="H427" s="256" t="s">
        <v>14</v>
      </c>
      <c r="I427" s="261">
        <v>1</v>
      </c>
      <c r="M427" s="399"/>
      <c r="N427" s="256">
        <v>-1280</v>
      </c>
      <c r="O427" s="256">
        <v>3096</v>
      </c>
      <c r="P427" s="256">
        <v>-1280</v>
      </c>
      <c r="Q427" s="256">
        <v>3034</v>
      </c>
      <c r="R427" s="256" t="s">
        <v>371</v>
      </c>
      <c r="S427" s="256">
        <v>1.5</v>
      </c>
      <c r="T427" s="285"/>
      <c r="AE427" s="261"/>
    </row>
    <row r="428" spans="3:31" x14ac:dyDescent="0.25">
      <c r="C428" s="399"/>
      <c r="D428" s="256">
        <v>-38.750178078616557</v>
      </c>
      <c r="E428" s="256">
        <v>3601.1631029678729</v>
      </c>
      <c r="F428" s="256">
        <v>-43.538461120896365</v>
      </c>
      <c r="G428" s="256">
        <v>3600.8279231549132</v>
      </c>
      <c r="H428" s="256" t="s">
        <v>14</v>
      </c>
      <c r="I428" s="261">
        <v>1</v>
      </c>
      <c r="M428" s="399"/>
      <c r="N428" s="256">
        <v>-1260</v>
      </c>
      <c r="O428" s="256">
        <v>3096</v>
      </c>
      <c r="P428" s="256">
        <v>-1260</v>
      </c>
      <c r="Q428" s="256">
        <v>3034</v>
      </c>
      <c r="R428" s="256" t="s">
        <v>371</v>
      </c>
      <c r="S428" s="256">
        <v>1.5</v>
      </c>
      <c r="T428" s="285"/>
      <c r="AE428" s="261"/>
    </row>
    <row r="429" spans="3:31" x14ac:dyDescent="0.25">
      <c r="C429" s="399"/>
      <c r="D429" s="256">
        <v>-44.655727164094984</v>
      </c>
      <c r="E429" s="256">
        <v>3616.7888666291792</v>
      </c>
      <c r="F429" s="256">
        <v>-46.511186842978411</v>
      </c>
      <c r="G429" s="256">
        <v>3614.6540904394965</v>
      </c>
      <c r="H429" s="256" t="s">
        <v>14</v>
      </c>
      <c r="I429" s="261">
        <v>1</v>
      </c>
      <c r="M429" s="399"/>
      <c r="N429" s="256">
        <v>-1292.2</v>
      </c>
      <c r="O429" s="256">
        <v>3034</v>
      </c>
      <c r="P429" s="256">
        <v>-1247.8</v>
      </c>
      <c r="Q429" s="256">
        <v>3034</v>
      </c>
      <c r="R429" s="256" t="s">
        <v>15</v>
      </c>
      <c r="S429" s="256">
        <v>1</v>
      </c>
      <c r="T429" s="285"/>
      <c r="AE429" s="261"/>
    </row>
    <row r="430" spans="3:31" x14ac:dyDescent="0.25">
      <c r="C430" s="399"/>
      <c r="D430" s="256">
        <v>-43.538461120896365</v>
      </c>
      <c r="E430" s="256">
        <v>3600.8279231549132</v>
      </c>
      <c r="F430" s="256">
        <v>-45.673237310579445</v>
      </c>
      <c r="G430" s="256">
        <v>3602.6833828337967</v>
      </c>
      <c r="H430" s="256" t="s">
        <v>14</v>
      </c>
      <c r="I430" s="261">
        <v>1</v>
      </c>
      <c r="M430" s="399"/>
      <c r="N430" s="256">
        <v>-1292.2</v>
      </c>
      <c r="O430" s="256">
        <v>3034</v>
      </c>
      <c r="P430" s="256">
        <v>-1292.2</v>
      </c>
      <c r="Q430" s="256">
        <v>3032</v>
      </c>
      <c r="R430" s="256" t="s">
        <v>15</v>
      </c>
      <c r="S430" s="256">
        <v>1</v>
      </c>
      <c r="T430" s="285"/>
      <c r="AE430" s="261"/>
    </row>
    <row r="431" spans="3:31" x14ac:dyDescent="0.25">
      <c r="C431" s="399"/>
      <c r="D431" s="256">
        <v>-46.511186842978411</v>
      </c>
      <c r="E431" s="256">
        <v>3614.6540904394965</v>
      </c>
      <c r="F431" s="256">
        <v>-45.673237310579445</v>
      </c>
      <c r="G431" s="256">
        <v>3602.6833828337967</v>
      </c>
      <c r="H431" s="256" t="s">
        <v>14</v>
      </c>
      <c r="I431" s="261">
        <v>1</v>
      </c>
      <c r="M431" s="399"/>
      <c r="N431" s="256">
        <v>-1247.8</v>
      </c>
      <c r="O431" s="256">
        <v>3034</v>
      </c>
      <c r="P431" s="256">
        <v>-1247.8</v>
      </c>
      <c r="Q431" s="256">
        <v>3032</v>
      </c>
      <c r="R431" s="256" t="s">
        <v>15</v>
      </c>
      <c r="S431" s="256">
        <v>1</v>
      </c>
      <c r="T431" s="285"/>
      <c r="AE431" s="261"/>
    </row>
    <row r="432" spans="3:31" x14ac:dyDescent="0.25">
      <c r="C432" s="399"/>
      <c r="D432" s="256">
        <v>16.25522336957274</v>
      </c>
      <c r="E432" s="256">
        <v>3613.0330571178911</v>
      </c>
      <c r="F432" s="256">
        <v>-58.561699166049266</v>
      </c>
      <c r="G432" s="256">
        <v>3607.7958725403973</v>
      </c>
      <c r="H432" s="256" t="s">
        <v>428</v>
      </c>
      <c r="I432" s="261">
        <v>1.5</v>
      </c>
      <c r="M432" s="399"/>
      <c r="N432" s="256">
        <v>-1292.2</v>
      </c>
      <c r="O432" s="256">
        <v>3032</v>
      </c>
      <c r="P432" s="256">
        <v>-1247.8</v>
      </c>
      <c r="Q432" s="256">
        <v>3032</v>
      </c>
      <c r="R432" s="256" t="s">
        <v>15</v>
      </c>
      <c r="S432" s="256">
        <v>1</v>
      </c>
      <c r="T432" s="285"/>
      <c r="AE432" s="261"/>
    </row>
    <row r="433" spans="3:31" x14ac:dyDescent="0.25">
      <c r="C433" s="399"/>
      <c r="D433" s="256">
        <v>-1.863440150620626</v>
      </c>
      <c r="E433" s="256">
        <v>3692.8627134633998</v>
      </c>
      <c r="F433" s="256">
        <v>-0.2015069113626744</v>
      </c>
      <c r="G433" s="256">
        <v>3669.1208100454292</v>
      </c>
      <c r="H433" s="256" t="s">
        <v>14</v>
      </c>
      <c r="I433" s="261">
        <v>1</v>
      </c>
      <c r="M433" s="399"/>
      <c r="N433" s="256">
        <v>-1285.2</v>
      </c>
      <c r="O433" s="256">
        <v>3032</v>
      </c>
      <c r="P433" s="256">
        <v>-1287.2</v>
      </c>
      <c r="Q433" s="256">
        <v>3030</v>
      </c>
      <c r="R433" s="256" t="s">
        <v>15</v>
      </c>
      <c r="S433" s="256">
        <v>1</v>
      </c>
      <c r="T433" s="285"/>
      <c r="AE433" s="261"/>
    </row>
    <row r="434" spans="3:31" x14ac:dyDescent="0.25">
      <c r="C434" s="399"/>
      <c r="D434" s="256">
        <v>-0.2015069113626744</v>
      </c>
      <c r="E434" s="256">
        <v>3669.1208100454292</v>
      </c>
      <c r="F434" s="256">
        <v>-2.0569665902461027</v>
      </c>
      <c r="G434" s="256">
        <v>3666.986033855746</v>
      </c>
      <c r="H434" s="256" t="s">
        <v>14</v>
      </c>
      <c r="I434" s="261">
        <v>1</v>
      </c>
      <c r="M434" s="399"/>
      <c r="N434" s="256">
        <v>-1254.8</v>
      </c>
      <c r="O434" s="256">
        <v>3032</v>
      </c>
      <c r="P434" s="256">
        <v>-1252.8</v>
      </c>
      <c r="Q434" s="256">
        <v>3030</v>
      </c>
      <c r="R434" s="256" t="s">
        <v>15</v>
      </c>
      <c r="S434" s="256">
        <v>1</v>
      </c>
      <c r="T434" s="285"/>
      <c r="AE434" s="261"/>
    </row>
    <row r="435" spans="3:31" x14ac:dyDescent="0.25">
      <c r="C435" s="399"/>
      <c r="D435" s="256">
        <v>-1.863440150620626</v>
      </c>
      <c r="E435" s="256">
        <v>3692.8627134633998</v>
      </c>
      <c r="F435" s="256">
        <v>-3.998216340303709</v>
      </c>
      <c r="G435" s="256">
        <v>3694.7181731422834</v>
      </c>
      <c r="H435" s="256" t="s">
        <v>14</v>
      </c>
      <c r="I435" s="261">
        <v>1</v>
      </c>
      <c r="M435" s="399"/>
      <c r="N435" s="256">
        <v>-1252.8</v>
      </c>
      <c r="O435" s="256">
        <v>3030</v>
      </c>
      <c r="P435" s="256">
        <v>-1252.8</v>
      </c>
      <c r="Q435" s="256">
        <v>3018</v>
      </c>
      <c r="R435" s="256" t="s">
        <v>15</v>
      </c>
      <c r="S435" s="256">
        <v>1</v>
      </c>
      <c r="T435" s="285"/>
      <c r="AE435" s="261"/>
    </row>
    <row r="436" spans="3:31" x14ac:dyDescent="0.25">
      <c r="C436" s="399"/>
      <c r="D436" s="256">
        <v>-2.0569665902461027</v>
      </c>
      <c r="E436" s="256">
        <v>3666.986033855746</v>
      </c>
      <c r="F436" s="256">
        <v>-10.037438327379114</v>
      </c>
      <c r="G436" s="256">
        <v>3666.4274008341467</v>
      </c>
      <c r="H436" s="256" t="s">
        <v>14</v>
      </c>
      <c r="I436" s="261">
        <v>1</v>
      </c>
      <c r="M436" s="399"/>
      <c r="N436" s="256">
        <v>-1287.2</v>
      </c>
      <c r="O436" s="256">
        <v>3030</v>
      </c>
      <c r="P436" s="256">
        <v>-1287.2</v>
      </c>
      <c r="Q436" s="256">
        <v>3018</v>
      </c>
      <c r="R436" s="256" t="s">
        <v>15</v>
      </c>
      <c r="S436" s="256">
        <v>1</v>
      </c>
      <c r="T436" s="285"/>
      <c r="AE436" s="261"/>
    </row>
    <row r="437" spans="3:31" x14ac:dyDescent="0.25">
      <c r="C437" s="399"/>
      <c r="D437" s="256">
        <v>-3.998216340303709</v>
      </c>
      <c r="E437" s="256">
        <v>3694.7181731422834</v>
      </c>
      <c r="F437" s="256">
        <v>-11.978688077436722</v>
      </c>
      <c r="G437" s="256">
        <v>3694.1595401206841</v>
      </c>
      <c r="H437" s="256" t="s">
        <v>14</v>
      </c>
      <c r="I437" s="261">
        <v>1</v>
      </c>
      <c r="M437" s="399"/>
      <c r="N437" s="256">
        <v>-1287.2</v>
      </c>
      <c r="O437" s="256">
        <v>3018</v>
      </c>
      <c r="P437" s="256">
        <v>-1285.2</v>
      </c>
      <c r="Q437" s="256">
        <v>3016</v>
      </c>
      <c r="R437" s="256" t="s">
        <v>15</v>
      </c>
      <c r="S437" s="256">
        <v>1</v>
      </c>
      <c r="T437" s="285"/>
      <c r="AE437" s="261"/>
    </row>
    <row r="438" spans="3:31" x14ac:dyDescent="0.25">
      <c r="C438" s="399"/>
      <c r="D438" s="256">
        <v>-12.327833715936293</v>
      </c>
      <c r="E438" s="256">
        <v>3699.1473349563921</v>
      </c>
      <c r="F438" s="256">
        <v>-9.6882926888795442</v>
      </c>
      <c r="G438" s="256">
        <v>3661.4396059984388</v>
      </c>
      <c r="H438" s="256" t="s">
        <v>14</v>
      </c>
      <c r="I438" s="261">
        <v>1</v>
      </c>
      <c r="M438" s="399"/>
      <c r="N438" s="256">
        <v>-1252.8</v>
      </c>
      <c r="O438" s="256">
        <v>3018</v>
      </c>
      <c r="P438" s="256">
        <v>-1254.8</v>
      </c>
      <c r="Q438" s="256">
        <v>3016</v>
      </c>
      <c r="R438" s="256" t="s">
        <v>15</v>
      </c>
      <c r="S438" s="256">
        <v>1</v>
      </c>
      <c r="T438" s="285"/>
      <c r="AE438" s="261"/>
    </row>
    <row r="439" spans="3:31" x14ac:dyDescent="0.25">
      <c r="C439" s="399"/>
      <c r="D439" s="256">
        <v>-12.327833715936293</v>
      </c>
      <c r="E439" s="256">
        <v>3699.1473349563921</v>
      </c>
      <c r="F439" s="256">
        <v>-14.322951650219547</v>
      </c>
      <c r="G439" s="256">
        <v>3699.0076767009923</v>
      </c>
      <c r="H439" s="256" t="s">
        <v>14</v>
      </c>
      <c r="I439" s="261">
        <v>1</v>
      </c>
      <c r="M439" s="399"/>
      <c r="N439" s="256">
        <v>-1285.2</v>
      </c>
      <c r="O439" s="256">
        <v>3016</v>
      </c>
      <c r="P439" s="256">
        <v>-1254.8</v>
      </c>
      <c r="Q439" s="256">
        <v>3016</v>
      </c>
      <c r="R439" s="256" t="s">
        <v>15</v>
      </c>
      <c r="S439" s="256">
        <v>1</v>
      </c>
      <c r="T439" s="285"/>
      <c r="AE439" s="261"/>
    </row>
    <row r="440" spans="3:31" x14ac:dyDescent="0.25">
      <c r="C440" s="399"/>
      <c r="D440" s="256">
        <v>-9.6882926888795442</v>
      </c>
      <c r="E440" s="256">
        <v>3661.4396059984388</v>
      </c>
      <c r="F440" s="256">
        <v>-11.683410623162798</v>
      </c>
      <c r="G440" s="256">
        <v>3661.299947743039</v>
      </c>
      <c r="H440" s="256" t="s">
        <v>14</v>
      </c>
      <c r="I440" s="261">
        <v>1</v>
      </c>
      <c r="M440" s="399"/>
      <c r="N440" s="256">
        <v>-1278.5999999999999</v>
      </c>
      <c r="O440" s="256">
        <v>3032</v>
      </c>
      <c r="P440" s="256">
        <v>-1278.5999999999999</v>
      </c>
      <c r="Q440" s="256">
        <v>3016</v>
      </c>
      <c r="R440" s="256" t="s">
        <v>15</v>
      </c>
      <c r="S440" s="256">
        <v>1</v>
      </c>
      <c r="T440" s="285"/>
      <c r="AE440" s="261"/>
    </row>
    <row r="441" spans="3:31" x14ac:dyDescent="0.25">
      <c r="C441" s="399"/>
      <c r="D441" s="256">
        <v>-14.322951650219547</v>
      </c>
      <c r="E441" s="256">
        <v>3699.0076767009923</v>
      </c>
      <c r="F441" s="256">
        <v>-11.683410623162798</v>
      </c>
      <c r="G441" s="256">
        <v>3661.299947743039</v>
      </c>
      <c r="H441" s="256" t="s">
        <v>14</v>
      </c>
      <c r="I441" s="261">
        <v>1</v>
      </c>
      <c r="M441" s="399"/>
      <c r="N441" s="256">
        <v>-1261.4000000000001</v>
      </c>
      <c r="O441" s="256">
        <v>3032</v>
      </c>
      <c r="P441" s="256">
        <v>-1261.4000000000001</v>
      </c>
      <c r="Q441" s="256">
        <v>3016</v>
      </c>
      <c r="R441" s="256" t="s">
        <v>15</v>
      </c>
      <c r="S441" s="256">
        <v>1</v>
      </c>
      <c r="T441" s="285"/>
      <c r="AE441" s="261"/>
    </row>
    <row r="442" spans="3:31" x14ac:dyDescent="0.25">
      <c r="C442" s="399"/>
      <c r="D442" s="256">
        <v>-1.5177859685060504</v>
      </c>
      <c r="E442" s="256">
        <v>3687.9247965760487</v>
      </c>
      <c r="F442" s="256">
        <v>-11.493375639922318</v>
      </c>
      <c r="G442" s="256">
        <v>3687.2265052990497</v>
      </c>
      <c r="H442" s="256" t="s">
        <v>14</v>
      </c>
      <c r="I442" s="261">
        <v>1</v>
      </c>
      <c r="M442" s="399"/>
      <c r="N442" s="256">
        <v>-1280</v>
      </c>
      <c r="O442" s="256">
        <v>3016</v>
      </c>
      <c r="P442" s="256">
        <v>-1280</v>
      </c>
      <c r="Q442" s="256">
        <v>3012.5</v>
      </c>
      <c r="R442" s="256" t="s">
        <v>15</v>
      </c>
      <c r="S442" s="256">
        <v>1</v>
      </c>
      <c r="T442" s="285"/>
      <c r="AE442" s="261"/>
    </row>
    <row r="443" spans="3:31" x14ac:dyDescent="0.25">
      <c r="C443" s="399"/>
      <c r="D443" s="256">
        <v>-0.54716109347724995</v>
      </c>
      <c r="E443" s="256">
        <v>3674.0587269327802</v>
      </c>
      <c r="F443" s="256">
        <v>-10.522750764893518</v>
      </c>
      <c r="G443" s="256">
        <v>3673.3604356557812</v>
      </c>
      <c r="H443" s="256" t="s">
        <v>14</v>
      </c>
      <c r="I443" s="261">
        <v>1</v>
      </c>
      <c r="M443" s="399"/>
      <c r="N443" s="256">
        <v>-1260</v>
      </c>
      <c r="O443" s="256">
        <v>3016</v>
      </c>
      <c r="P443" s="256">
        <v>-1260</v>
      </c>
      <c r="Q443" s="256">
        <v>3012.5</v>
      </c>
      <c r="R443" s="256" t="s">
        <v>15</v>
      </c>
      <c r="S443" s="256">
        <v>1</v>
      </c>
      <c r="T443" s="285"/>
      <c r="AE443" s="261"/>
    </row>
    <row r="444" spans="3:31" x14ac:dyDescent="0.25">
      <c r="C444" s="399"/>
      <c r="D444" s="256">
        <v>-13.561814158290483</v>
      </c>
      <c r="E444" s="256">
        <v>3688.1342839591489</v>
      </c>
      <c r="F444" s="256">
        <v>-29.722269425984834</v>
      </c>
      <c r="G444" s="256">
        <v>3687.0030520904102</v>
      </c>
      <c r="H444" s="256" t="s">
        <v>427</v>
      </c>
      <c r="I444" s="261">
        <v>1.5</v>
      </c>
      <c r="M444" s="399"/>
      <c r="N444" s="256">
        <v>-1280</v>
      </c>
      <c r="O444" s="256">
        <v>3012.5</v>
      </c>
      <c r="P444" s="256">
        <v>-1278</v>
      </c>
      <c r="Q444" s="256">
        <v>3010.5</v>
      </c>
      <c r="R444" s="256" t="s">
        <v>15</v>
      </c>
      <c r="S444" s="256">
        <v>1</v>
      </c>
      <c r="T444" s="285"/>
      <c r="AE444" s="261"/>
    </row>
    <row r="445" spans="3:31" x14ac:dyDescent="0.25">
      <c r="C445" s="399"/>
      <c r="D445" s="256">
        <v>-12.444548115091861</v>
      </c>
      <c r="E445" s="256">
        <v>3672.1733404848828</v>
      </c>
      <c r="F445" s="256">
        <v>-28.605003382786212</v>
      </c>
      <c r="G445" s="256">
        <v>3671.0421086161441</v>
      </c>
      <c r="H445" s="256" t="s">
        <v>427</v>
      </c>
      <c r="I445" s="261">
        <v>1.5</v>
      </c>
      <c r="M445" s="399"/>
      <c r="N445" s="256">
        <v>-1260</v>
      </c>
      <c r="O445" s="256">
        <v>3012.5</v>
      </c>
      <c r="P445" s="256">
        <v>-1262</v>
      </c>
      <c r="Q445" s="256">
        <v>3010.5</v>
      </c>
      <c r="R445" s="256" t="s">
        <v>15</v>
      </c>
      <c r="S445" s="256">
        <v>1</v>
      </c>
      <c r="T445" s="285"/>
      <c r="AE445" s="261"/>
    </row>
    <row r="446" spans="3:31" x14ac:dyDescent="0.25">
      <c r="C446" s="399"/>
      <c r="D446" s="256">
        <v>-30.4834069179139</v>
      </c>
      <c r="E446" s="256">
        <v>3697.8764448322536</v>
      </c>
      <c r="F446" s="256">
        <v>-27.843865890857153</v>
      </c>
      <c r="G446" s="256">
        <v>3660.1687158743002</v>
      </c>
      <c r="H446" s="256" t="s">
        <v>14</v>
      </c>
      <c r="I446" s="261">
        <v>1</v>
      </c>
      <c r="M446" s="399"/>
      <c r="N446" s="256">
        <v>-1278</v>
      </c>
      <c r="O446" s="256">
        <v>3010.5</v>
      </c>
      <c r="P446" s="256">
        <v>-1262</v>
      </c>
      <c r="Q446" s="256">
        <v>3010.5</v>
      </c>
      <c r="R446" s="256" t="s">
        <v>15</v>
      </c>
      <c r="S446" s="256">
        <v>1</v>
      </c>
      <c r="T446" s="285"/>
      <c r="AE446" s="261"/>
    </row>
    <row r="447" spans="3:31" ht="15.75" thickBot="1" x14ac:dyDescent="0.3">
      <c r="C447" s="399"/>
      <c r="D447" s="256">
        <v>-30.4834069179139</v>
      </c>
      <c r="E447" s="256">
        <v>3697.8764448322536</v>
      </c>
      <c r="F447" s="256">
        <v>-32.478524852197154</v>
      </c>
      <c r="G447" s="256">
        <v>3697.7367865768538</v>
      </c>
      <c r="H447" s="256" t="s">
        <v>14</v>
      </c>
      <c r="I447" s="261">
        <v>1</v>
      </c>
      <c r="M447" s="400"/>
      <c r="N447" s="264">
        <v>-1270</v>
      </c>
      <c r="O447" s="264">
        <v>3135.5</v>
      </c>
      <c r="P447" s="264">
        <v>-1270</v>
      </c>
      <c r="Q447" s="264">
        <v>2985.5</v>
      </c>
      <c r="R447" s="264" t="s">
        <v>372</v>
      </c>
      <c r="S447" s="264">
        <v>1.5</v>
      </c>
      <c r="T447" s="309"/>
      <c r="AE447" s="261"/>
    </row>
    <row r="448" spans="3:31" x14ac:dyDescent="0.25">
      <c r="C448" s="399"/>
      <c r="D448" s="256">
        <v>-27.843865890857153</v>
      </c>
      <c r="E448" s="256">
        <v>3660.1687158743002</v>
      </c>
      <c r="F448" s="256">
        <v>-29.838983825140403</v>
      </c>
      <c r="G448" s="256">
        <v>3660.0290576189004</v>
      </c>
      <c r="H448" s="256" t="s">
        <v>14</v>
      </c>
      <c r="I448" s="261">
        <v>1</v>
      </c>
      <c r="M448" s="391" t="s">
        <v>477</v>
      </c>
      <c r="N448" s="256" cm="1">
        <f t="array" ref="N448:N479">V415+M225:M256</f>
        <v>-1145.2</v>
      </c>
      <c r="O448" s="256" cm="1">
        <f t="array" ref="O448:O479">W415+N225:N256</f>
        <v>3110.5</v>
      </c>
      <c r="P448" s="256" cm="1">
        <f t="array" ref="P448:P479">V415+O225:O256</f>
        <v>-1114.8</v>
      </c>
      <c r="Q448" s="256" cm="1">
        <f t="array" ref="Q448:Q479">W415+P225:P256</f>
        <v>3110.5</v>
      </c>
      <c r="R448" s="256" t="s">
        <v>15</v>
      </c>
      <c r="S448" s="256">
        <v>1</v>
      </c>
      <c r="T448" s="285"/>
      <c r="AE448" s="261"/>
    </row>
    <row r="449" spans="3:31" x14ac:dyDescent="0.25">
      <c r="C449" s="399"/>
      <c r="D449" s="256">
        <v>-32.478524852197154</v>
      </c>
      <c r="E449" s="256">
        <v>3697.7367865768538</v>
      </c>
      <c r="F449" s="256">
        <v>-29.838983825140403</v>
      </c>
      <c r="G449" s="256">
        <v>3660.0290576189004</v>
      </c>
      <c r="H449" s="256" t="s">
        <v>14</v>
      </c>
      <c r="I449" s="261">
        <v>1</v>
      </c>
      <c r="M449" s="399"/>
      <c r="N449" s="256">
        <v>-1114.8</v>
      </c>
      <c r="O449" s="256">
        <v>3110.5</v>
      </c>
      <c r="P449" s="256">
        <v>-1112.8</v>
      </c>
      <c r="Q449" s="256">
        <v>3108.5</v>
      </c>
      <c r="R449" s="256" t="s">
        <v>15</v>
      </c>
      <c r="S449" s="256">
        <v>1</v>
      </c>
      <c r="T449" s="285"/>
      <c r="AE449" s="261"/>
    </row>
    <row r="450" spans="3:31" x14ac:dyDescent="0.25">
      <c r="C450" s="399"/>
      <c r="D450" s="256">
        <v>-31.989720958297752</v>
      </c>
      <c r="E450" s="256">
        <v>3690.7538738068624</v>
      </c>
      <c r="F450" s="256">
        <v>-34.124497147980833</v>
      </c>
      <c r="G450" s="256">
        <v>3692.609333485746</v>
      </c>
      <c r="H450" s="256" t="s">
        <v>14</v>
      </c>
      <c r="I450" s="261">
        <v>1</v>
      </c>
      <c r="M450" s="399"/>
      <c r="N450" s="256">
        <v>-1145.2</v>
      </c>
      <c r="O450" s="256">
        <v>3110.5</v>
      </c>
      <c r="P450" s="256">
        <v>-1147.2</v>
      </c>
      <c r="Q450" s="256">
        <v>3108.5</v>
      </c>
      <c r="R450" s="256" t="s">
        <v>15</v>
      </c>
      <c r="S450" s="256">
        <v>1</v>
      </c>
      <c r="T450" s="285"/>
      <c r="AE450" s="261"/>
    </row>
    <row r="451" spans="3:31" x14ac:dyDescent="0.25">
      <c r="C451" s="399"/>
      <c r="D451" s="256">
        <v>-30.327787719039801</v>
      </c>
      <c r="E451" s="256">
        <v>3667.0119703888918</v>
      </c>
      <c r="F451" s="256">
        <v>-32.183247397923225</v>
      </c>
      <c r="G451" s="256">
        <v>3664.8771941992086</v>
      </c>
      <c r="H451" s="256" t="s">
        <v>14</v>
      </c>
      <c r="I451" s="261">
        <v>1</v>
      </c>
      <c r="M451" s="399"/>
      <c r="N451" s="256">
        <v>-1112.8</v>
      </c>
      <c r="O451" s="256">
        <v>3108.5</v>
      </c>
      <c r="P451" s="256">
        <v>-1112.8</v>
      </c>
      <c r="Q451" s="256">
        <v>3098</v>
      </c>
      <c r="R451" s="256" t="s">
        <v>15</v>
      </c>
      <c r="S451" s="256">
        <v>1</v>
      </c>
      <c r="T451" s="285"/>
      <c r="AE451" s="261"/>
    </row>
    <row r="452" spans="3:31" x14ac:dyDescent="0.25">
      <c r="C452" s="399"/>
      <c r="D452" s="256">
        <v>-32.183247397923225</v>
      </c>
      <c r="E452" s="256">
        <v>3664.8771941992086</v>
      </c>
      <c r="F452" s="256">
        <v>-41.161278102197869</v>
      </c>
      <c r="G452" s="256">
        <v>3664.2487320499094</v>
      </c>
      <c r="H452" s="256" t="s">
        <v>14</v>
      </c>
      <c r="I452" s="261">
        <v>1</v>
      </c>
      <c r="M452" s="399"/>
      <c r="N452" s="256">
        <v>-1147.2</v>
      </c>
      <c r="O452" s="256">
        <v>3108.5</v>
      </c>
      <c r="P452" s="256">
        <v>-1147.2</v>
      </c>
      <c r="Q452" s="256">
        <v>3098</v>
      </c>
      <c r="R452" s="256" t="s">
        <v>15</v>
      </c>
      <c r="S452" s="256">
        <v>1</v>
      </c>
      <c r="T452" s="285"/>
      <c r="AE452" s="261"/>
    </row>
    <row r="453" spans="3:31" x14ac:dyDescent="0.25">
      <c r="C453" s="399"/>
      <c r="D453" s="256">
        <v>-34.124497147980833</v>
      </c>
      <c r="E453" s="256">
        <v>3692.609333485746</v>
      </c>
      <c r="F453" s="256">
        <v>-43.102527852255477</v>
      </c>
      <c r="G453" s="256">
        <v>3691.9808713364469</v>
      </c>
      <c r="H453" s="256" t="s">
        <v>14</v>
      </c>
      <c r="I453" s="261">
        <v>1</v>
      </c>
      <c r="M453" s="399"/>
      <c r="N453" s="256">
        <v>-1152.2</v>
      </c>
      <c r="O453" s="256">
        <v>3098</v>
      </c>
      <c r="P453" s="256">
        <v>-1107.8</v>
      </c>
      <c r="Q453" s="256">
        <v>3098</v>
      </c>
      <c r="R453" s="256" t="s">
        <v>15</v>
      </c>
      <c r="S453" s="256">
        <v>1</v>
      </c>
      <c r="T453" s="285"/>
      <c r="AE453" s="261"/>
    </row>
    <row r="454" spans="3:31" x14ac:dyDescent="0.25">
      <c r="C454" s="399"/>
      <c r="D454" s="256">
        <v>-43.102527852255477</v>
      </c>
      <c r="E454" s="256">
        <v>3691.9808713364469</v>
      </c>
      <c r="F454" s="256">
        <v>-44.957987531138897</v>
      </c>
      <c r="G454" s="256">
        <v>3689.8460951467637</v>
      </c>
      <c r="H454" s="256" t="s">
        <v>14</v>
      </c>
      <c r="I454" s="261">
        <v>1</v>
      </c>
      <c r="M454" s="399"/>
      <c r="N454" s="256">
        <v>-1152.2</v>
      </c>
      <c r="O454" s="256">
        <v>3098</v>
      </c>
      <c r="P454" s="256">
        <v>-1152.2</v>
      </c>
      <c r="Q454" s="256">
        <v>3096</v>
      </c>
      <c r="R454" s="256" t="s">
        <v>15</v>
      </c>
      <c r="S454" s="256">
        <v>1</v>
      </c>
      <c r="T454" s="285"/>
      <c r="AE454" s="261"/>
    </row>
    <row r="455" spans="3:31" x14ac:dyDescent="0.25">
      <c r="C455" s="399"/>
      <c r="D455" s="256">
        <v>-41.161278102197869</v>
      </c>
      <c r="E455" s="256">
        <v>3664.2487320499094</v>
      </c>
      <c r="F455" s="256">
        <v>-43.296054291880949</v>
      </c>
      <c r="G455" s="256">
        <v>3666.104191728793</v>
      </c>
      <c r="H455" s="256" t="s">
        <v>14</v>
      </c>
      <c r="I455" s="261">
        <v>1</v>
      </c>
      <c r="M455" s="399"/>
      <c r="N455" s="256">
        <v>-1107.8</v>
      </c>
      <c r="O455" s="256">
        <v>3098</v>
      </c>
      <c r="P455" s="256">
        <v>-1107.8</v>
      </c>
      <c r="Q455" s="256">
        <v>3096</v>
      </c>
      <c r="R455" s="256" t="s">
        <v>15</v>
      </c>
      <c r="S455" s="256">
        <v>1</v>
      </c>
      <c r="T455" s="285"/>
      <c r="AE455" s="261"/>
    </row>
    <row r="456" spans="3:31" x14ac:dyDescent="0.25">
      <c r="C456" s="399"/>
      <c r="D456" s="256">
        <v>-44.957987531138897</v>
      </c>
      <c r="E456" s="256">
        <v>3689.8460951467637</v>
      </c>
      <c r="F456" s="256">
        <v>-43.296054291880949</v>
      </c>
      <c r="G456" s="256">
        <v>3666.104191728793</v>
      </c>
      <c r="H456" s="256" t="s">
        <v>14</v>
      </c>
      <c r="I456" s="261">
        <v>1</v>
      </c>
      <c r="M456" s="399"/>
      <c r="N456" s="256">
        <v>-1152.2</v>
      </c>
      <c r="O456" s="256">
        <v>3096</v>
      </c>
      <c r="P456" s="256">
        <v>-1107.8</v>
      </c>
      <c r="Q456" s="256">
        <v>3096</v>
      </c>
      <c r="R456" s="256" t="s">
        <v>15</v>
      </c>
      <c r="S456" s="256">
        <v>1</v>
      </c>
      <c r="T456" s="285"/>
      <c r="AE456" s="261"/>
    </row>
    <row r="457" spans="3:31" x14ac:dyDescent="0.25">
      <c r="C457" s="399"/>
      <c r="D457" s="256">
        <v>-31.644066776183177</v>
      </c>
      <c r="E457" s="256">
        <v>3685.8159569195113</v>
      </c>
      <c r="F457" s="256">
        <v>-44.612333349024325</v>
      </c>
      <c r="G457" s="256">
        <v>3684.9081782594126</v>
      </c>
      <c r="H457" s="256" t="s">
        <v>14</v>
      </c>
      <c r="I457" s="261">
        <v>1</v>
      </c>
      <c r="M457" s="399"/>
      <c r="N457" s="256">
        <v>-1138.5999999999999</v>
      </c>
      <c r="O457" s="256">
        <v>3110.5</v>
      </c>
      <c r="P457" s="256">
        <v>-1138.5999999999999</v>
      </c>
      <c r="Q457" s="256">
        <v>3098</v>
      </c>
      <c r="R457" s="256" t="s">
        <v>15</v>
      </c>
      <c r="S457" s="256">
        <v>1</v>
      </c>
      <c r="T457" s="285"/>
      <c r="AE457" s="261"/>
    </row>
    <row r="458" spans="3:31" x14ac:dyDescent="0.25">
      <c r="C458" s="399"/>
      <c r="D458" s="256">
        <v>-30.673441901154376</v>
      </c>
      <c r="E458" s="256">
        <v>3671.9498872762429</v>
      </c>
      <c r="F458" s="256">
        <v>-43.641708473995521</v>
      </c>
      <c r="G458" s="256">
        <v>3671.0421086161441</v>
      </c>
      <c r="H458" s="256" t="s">
        <v>14</v>
      </c>
      <c r="I458" s="261">
        <v>1</v>
      </c>
      <c r="M458" s="399"/>
      <c r="N458" s="256">
        <v>-1121.4000000000001</v>
      </c>
      <c r="O458" s="256">
        <v>3110.5</v>
      </c>
      <c r="P458" s="256">
        <v>-1121.4000000000001</v>
      </c>
      <c r="Q458" s="256">
        <v>3098</v>
      </c>
      <c r="R458" s="256" t="s">
        <v>15</v>
      </c>
      <c r="S458" s="256">
        <v>1</v>
      </c>
      <c r="T458" s="285"/>
      <c r="AE458" s="261"/>
    </row>
    <row r="459" spans="3:31" x14ac:dyDescent="0.25">
      <c r="C459" s="399"/>
      <c r="D459" s="256">
        <v>-44.685653933109236</v>
      </c>
      <c r="E459" s="256">
        <v>3685.9556151749111</v>
      </c>
      <c r="F459" s="256">
        <v>-49.473936975389044</v>
      </c>
      <c r="G459" s="256">
        <v>3685.6204353619514</v>
      </c>
      <c r="H459" s="256" t="s">
        <v>14</v>
      </c>
      <c r="I459" s="261">
        <v>1</v>
      </c>
      <c r="M459" s="399"/>
      <c r="N459" s="256">
        <v>-1140</v>
      </c>
      <c r="O459" s="256">
        <v>3096</v>
      </c>
      <c r="P459" s="256">
        <v>-1140</v>
      </c>
      <c r="Q459" s="256">
        <v>3034</v>
      </c>
      <c r="R459" s="256" t="s">
        <v>371</v>
      </c>
      <c r="S459" s="256">
        <v>1.5</v>
      </c>
      <c r="T459" s="285"/>
      <c r="AE459" s="261"/>
    </row>
    <row r="460" spans="3:31" x14ac:dyDescent="0.25">
      <c r="C460" s="399"/>
      <c r="D460" s="256">
        <v>-43.568387889910611</v>
      </c>
      <c r="E460" s="256">
        <v>3669.9946717006455</v>
      </c>
      <c r="F460" s="256">
        <v>-48.356670932190426</v>
      </c>
      <c r="G460" s="256">
        <v>3669.6594918876858</v>
      </c>
      <c r="H460" s="256" t="s">
        <v>14</v>
      </c>
      <c r="I460" s="261">
        <v>1</v>
      </c>
      <c r="M460" s="399"/>
      <c r="N460" s="256">
        <v>-1120</v>
      </c>
      <c r="O460" s="256">
        <v>3096</v>
      </c>
      <c r="P460" s="256">
        <v>-1120</v>
      </c>
      <c r="Q460" s="256">
        <v>3034</v>
      </c>
      <c r="R460" s="256" t="s">
        <v>371</v>
      </c>
      <c r="S460" s="256">
        <v>1.5</v>
      </c>
      <c r="T460" s="285"/>
      <c r="AE460" s="261"/>
    </row>
    <row r="461" spans="3:31" x14ac:dyDescent="0.25">
      <c r="C461" s="399"/>
      <c r="D461" s="256">
        <v>-49.473936975389044</v>
      </c>
      <c r="E461" s="256">
        <v>3685.6204353619514</v>
      </c>
      <c r="F461" s="256">
        <v>-51.329396654272465</v>
      </c>
      <c r="G461" s="256">
        <v>3683.4856591722687</v>
      </c>
      <c r="H461" s="256" t="s">
        <v>14</v>
      </c>
      <c r="I461" s="261">
        <v>1</v>
      </c>
      <c r="M461" s="399"/>
      <c r="N461" s="256">
        <v>-1152.2</v>
      </c>
      <c r="O461" s="256">
        <v>3034</v>
      </c>
      <c r="P461" s="256">
        <v>-1107.8</v>
      </c>
      <c r="Q461" s="256">
        <v>3034</v>
      </c>
      <c r="R461" s="256" t="s">
        <v>15</v>
      </c>
      <c r="S461" s="256">
        <v>1</v>
      </c>
      <c r="T461" s="285"/>
      <c r="AE461" s="261"/>
    </row>
    <row r="462" spans="3:31" x14ac:dyDescent="0.25">
      <c r="C462" s="399"/>
      <c r="D462" s="256">
        <v>-48.356670932190426</v>
      </c>
      <c r="E462" s="256">
        <v>3669.6594918876858</v>
      </c>
      <c r="F462" s="256">
        <v>-50.491447121873499</v>
      </c>
      <c r="G462" s="256">
        <v>3671.5149515665689</v>
      </c>
      <c r="H462" s="256" t="s">
        <v>14</v>
      </c>
      <c r="I462" s="261">
        <v>1</v>
      </c>
      <c r="M462" s="399"/>
      <c r="N462" s="256">
        <v>-1152.2</v>
      </c>
      <c r="O462" s="256">
        <v>3034</v>
      </c>
      <c r="P462" s="256">
        <v>-1152.2</v>
      </c>
      <c r="Q462" s="256">
        <v>3032</v>
      </c>
      <c r="R462" s="256" t="s">
        <v>15</v>
      </c>
      <c r="S462" s="256">
        <v>1</v>
      </c>
      <c r="T462" s="285"/>
      <c r="AE462" s="261"/>
    </row>
    <row r="463" spans="3:31" x14ac:dyDescent="0.25">
      <c r="C463" s="399"/>
      <c r="D463" s="256">
        <v>-51.329396654272465</v>
      </c>
      <c r="E463" s="256">
        <v>3683.4856591722687</v>
      </c>
      <c r="F463" s="256">
        <v>-50.491447121873499</v>
      </c>
      <c r="G463" s="256">
        <v>3671.5149515665689</v>
      </c>
      <c r="H463" s="256" t="s">
        <v>14</v>
      </c>
      <c r="I463" s="261">
        <v>1</v>
      </c>
      <c r="M463" s="399"/>
      <c r="N463" s="256">
        <v>-1107.8</v>
      </c>
      <c r="O463" s="256">
        <v>3034</v>
      </c>
      <c r="P463" s="256">
        <v>-1107.8</v>
      </c>
      <c r="Q463" s="256">
        <v>3032</v>
      </c>
      <c r="R463" s="256" t="s">
        <v>15</v>
      </c>
      <c r="S463" s="256">
        <v>1</v>
      </c>
      <c r="T463" s="285"/>
      <c r="AE463" s="261"/>
    </row>
    <row r="464" spans="3:31" ht="15.75" thickBot="1" x14ac:dyDescent="0.3">
      <c r="C464" s="399"/>
      <c r="D464" s="256">
        <v>11.43701355827868</v>
      </c>
      <c r="E464" s="256">
        <v>3681.8646258506633</v>
      </c>
      <c r="F464" s="256">
        <v>-63.37990897734332</v>
      </c>
      <c r="G464" s="256">
        <v>3676.62744127317</v>
      </c>
      <c r="H464" s="256" t="s">
        <v>428</v>
      </c>
      <c r="I464" s="261">
        <v>1.5</v>
      </c>
      <c r="M464" s="399"/>
      <c r="N464" s="256">
        <v>-1152.2</v>
      </c>
      <c r="O464" s="256">
        <v>3032</v>
      </c>
      <c r="P464" s="256">
        <v>-1107.8</v>
      </c>
      <c r="Q464" s="256">
        <v>3032</v>
      </c>
      <c r="R464" s="256" t="s">
        <v>15</v>
      </c>
      <c r="S464" s="256">
        <v>1</v>
      </c>
      <c r="T464" s="285"/>
      <c r="AE464" s="261"/>
    </row>
    <row r="465" spans="3:31" x14ac:dyDescent="0.25">
      <c r="C465" s="391" t="s">
        <v>426</v>
      </c>
      <c r="D465" s="258" cm="1">
        <f t="array" ref="D465:G551">AG203:AJ289</f>
        <v>2934.8394482663093</v>
      </c>
      <c r="E465" s="258">
        <v>3731.6247338407688</v>
      </c>
      <c r="F465" s="258">
        <v>3054.5465243233043</v>
      </c>
      <c r="G465" s="258">
        <v>3740.0042291647583</v>
      </c>
      <c r="H465" s="258" t="s">
        <v>14</v>
      </c>
      <c r="I465" s="259">
        <v>1</v>
      </c>
      <c r="M465" s="399"/>
      <c r="N465" s="256">
        <v>-1145.2</v>
      </c>
      <c r="O465" s="256">
        <v>3032</v>
      </c>
      <c r="P465" s="256">
        <v>-1147.2</v>
      </c>
      <c r="Q465" s="256">
        <v>3030</v>
      </c>
      <c r="R465" s="256" t="s">
        <v>15</v>
      </c>
      <c r="S465" s="256">
        <v>1</v>
      </c>
      <c r="T465" s="285"/>
      <c r="AE465" s="261"/>
    </row>
    <row r="466" spans="3:31" x14ac:dyDescent="0.25">
      <c r="C466" s="399"/>
      <c r="D466" s="256">
        <v>2934.8394482663093</v>
      </c>
      <c r="E466" s="256">
        <v>3731.6247338407688</v>
      </c>
      <c r="F466" s="256">
        <v>2934.1551228148501</v>
      </c>
      <c r="G466" s="256">
        <v>3741.4008117187568</v>
      </c>
      <c r="H466" s="256" t="s">
        <v>14</v>
      </c>
      <c r="I466" s="261">
        <v>1</v>
      </c>
      <c r="M466" s="399"/>
      <c r="N466" s="256">
        <v>-1114.8</v>
      </c>
      <c r="O466" s="256">
        <v>3032</v>
      </c>
      <c r="P466" s="256">
        <v>-1112.8</v>
      </c>
      <c r="Q466" s="256">
        <v>3030</v>
      </c>
      <c r="R466" s="256" t="s">
        <v>15</v>
      </c>
      <c r="S466" s="256">
        <v>1</v>
      </c>
      <c r="T466" s="285"/>
      <c r="AE466" s="261"/>
    </row>
    <row r="467" spans="3:31" x14ac:dyDescent="0.25">
      <c r="C467" s="399"/>
      <c r="D467" s="256">
        <v>3054.5465243233043</v>
      </c>
      <c r="E467" s="256">
        <v>3740.0042291647583</v>
      </c>
      <c r="F467" s="256">
        <v>3053.8621988718451</v>
      </c>
      <c r="G467" s="256">
        <v>3749.7803070427462</v>
      </c>
      <c r="H467" s="256" t="s">
        <v>14</v>
      </c>
      <c r="I467" s="261">
        <v>1</v>
      </c>
      <c r="M467" s="399"/>
      <c r="N467" s="256">
        <v>-1112.8</v>
      </c>
      <c r="O467" s="256">
        <v>3030</v>
      </c>
      <c r="P467" s="256">
        <v>-1112.8</v>
      </c>
      <c r="Q467" s="256">
        <v>3018</v>
      </c>
      <c r="R467" s="256" t="s">
        <v>15</v>
      </c>
      <c r="S467" s="256">
        <v>1</v>
      </c>
      <c r="T467" s="285"/>
      <c r="AE467" s="261"/>
    </row>
    <row r="468" spans="3:31" x14ac:dyDescent="0.25">
      <c r="C468" s="399"/>
      <c r="D468" s="256">
        <v>2934.1551228148501</v>
      </c>
      <c r="E468" s="256">
        <v>3741.4008117187568</v>
      </c>
      <c r="F468" s="256">
        <v>2975.9528435380839</v>
      </c>
      <c r="G468" s="256">
        <v>3744.3266521693831</v>
      </c>
      <c r="H468" s="256" t="s">
        <v>14</v>
      </c>
      <c r="I468" s="261">
        <v>1</v>
      </c>
      <c r="M468" s="399"/>
      <c r="N468" s="256">
        <v>-1147.2</v>
      </c>
      <c r="O468" s="256">
        <v>3030</v>
      </c>
      <c r="P468" s="256">
        <v>-1147.2</v>
      </c>
      <c r="Q468" s="256">
        <v>3018</v>
      </c>
      <c r="R468" s="256" t="s">
        <v>15</v>
      </c>
      <c r="S468" s="256">
        <v>1</v>
      </c>
      <c r="T468" s="285"/>
      <c r="AE468" s="261"/>
    </row>
    <row r="469" spans="3:31" x14ac:dyDescent="0.25">
      <c r="C469" s="399"/>
      <c r="D469" s="256">
        <v>3053.8621988718451</v>
      </c>
      <c r="E469" s="256">
        <v>3749.7803070427462</v>
      </c>
      <c r="F469" s="256">
        <v>3012.0644781486112</v>
      </c>
      <c r="G469" s="256">
        <v>3746.8544665921199</v>
      </c>
      <c r="H469" s="256" t="s">
        <v>14</v>
      </c>
      <c r="I469" s="261">
        <v>1</v>
      </c>
      <c r="M469" s="399"/>
      <c r="N469" s="256">
        <v>-1147.2</v>
      </c>
      <c r="O469" s="256">
        <v>3018</v>
      </c>
      <c r="P469" s="256">
        <v>-1145.2</v>
      </c>
      <c r="Q469" s="256">
        <v>3016</v>
      </c>
      <c r="R469" s="256" t="s">
        <v>15</v>
      </c>
      <c r="S469" s="256">
        <v>1</v>
      </c>
      <c r="T469" s="285"/>
      <c r="AE469" s="261"/>
    </row>
    <row r="470" spans="3:31" x14ac:dyDescent="0.25">
      <c r="C470" s="399"/>
      <c r="D470" s="256">
        <v>2989.8687911297097</v>
      </c>
      <c r="E470" s="256">
        <v>3760.3374735920061</v>
      </c>
      <c r="F470" s="256">
        <v>2976.573325215646</v>
      </c>
      <c r="G470" s="256">
        <v>3950.2727009357718</v>
      </c>
      <c r="H470" s="256" t="s">
        <v>14</v>
      </c>
      <c r="I470" s="261">
        <v>1</v>
      </c>
      <c r="M470" s="399"/>
      <c r="N470" s="256">
        <v>-1112.8</v>
      </c>
      <c r="O470" s="256">
        <v>3018</v>
      </c>
      <c r="P470" s="256">
        <v>-1114.8</v>
      </c>
      <c r="Q470" s="256">
        <v>3016</v>
      </c>
      <c r="R470" s="256" t="s">
        <v>15</v>
      </c>
      <c r="S470" s="256">
        <v>1</v>
      </c>
      <c r="T470" s="285"/>
      <c r="AE470" s="261"/>
    </row>
    <row r="471" spans="3:31" x14ac:dyDescent="0.25">
      <c r="C471" s="399"/>
      <c r="D471" s="256">
        <v>2996.0536567259883</v>
      </c>
      <c r="E471" s="256">
        <v>3760.7704141837457</v>
      </c>
      <c r="F471" s="256">
        <v>2982.7581908119246</v>
      </c>
      <c r="G471" s="256">
        <v>3950.7056415275115</v>
      </c>
      <c r="H471" s="256" t="s">
        <v>14</v>
      </c>
      <c r="I471" s="261">
        <v>1</v>
      </c>
      <c r="M471" s="399"/>
      <c r="N471" s="256">
        <v>-1145.2</v>
      </c>
      <c r="O471" s="256">
        <v>3016</v>
      </c>
      <c r="P471" s="256">
        <v>-1114.8</v>
      </c>
      <c r="Q471" s="256">
        <v>3016</v>
      </c>
      <c r="R471" s="256" t="s">
        <v>15</v>
      </c>
      <c r="S471" s="256">
        <v>1</v>
      </c>
      <c r="T471" s="285"/>
      <c r="AE471" s="261"/>
    </row>
    <row r="472" spans="3:31" x14ac:dyDescent="0.25">
      <c r="C472" s="399"/>
      <c r="D472" s="256">
        <v>2960.5625037930231</v>
      </c>
      <c r="E472" s="256">
        <v>3964.1886485273976</v>
      </c>
      <c r="F472" s="256">
        <v>2918.7647830697892</v>
      </c>
      <c r="G472" s="256">
        <v>3961.2628080767713</v>
      </c>
      <c r="H472" s="256" t="s">
        <v>14</v>
      </c>
      <c r="I472" s="261">
        <v>1</v>
      </c>
      <c r="M472" s="399"/>
      <c r="N472" s="256">
        <v>-1138.5999999999999</v>
      </c>
      <c r="O472" s="256">
        <v>3032</v>
      </c>
      <c r="P472" s="256">
        <v>-1138.5999999999999</v>
      </c>
      <c r="Q472" s="256">
        <v>3016</v>
      </c>
      <c r="R472" s="256" t="s">
        <v>15</v>
      </c>
      <c r="S472" s="256">
        <v>1</v>
      </c>
      <c r="T472" s="285"/>
      <c r="AE472" s="261"/>
    </row>
    <row r="473" spans="3:31" x14ac:dyDescent="0.25">
      <c r="C473" s="399"/>
      <c r="D473" s="256">
        <v>2996.6741384035504</v>
      </c>
      <c r="E473" s="256">
        <v>3966.7164629501344</v>
      </c>
      <c r="F473" s="256">
        <v>3038.4718591267842</v>
      </c>
      <c r="G473" s="256">
        <v>3969.6423034007607</v>
      </c>
      <c r="H473" s="256" t="s">
        <v>14</v>
      </c>
      <c r="I473" s="261">
        <v>1</v>
      </c>
      <c r="M473" s="399"/>
      <c r="N473" s="256">
        <v>-1121.4000000000001</v>
      </c>
      <c r="O473" s="256">
        <v>3032</v>
      </c>
      <c r="P473" s="256">
        <v>-1121.4000000000001</v>
      </c>
      <c r="Q473" s="256">
        <v>3016</v>
      </c>
      <c r="R473" s="256" t="s">
        <v>15</v>
      </c>
      <c r="S473" s="256">
        <v>1</v>
      </c>
      <c r="T473" s="285"/>
      <c r="AE473" s="261"/>
    </row>
    <row r="474" spans="3:31" x14ac:dyDescent="0.25">
      <c r="C474" s="399"/>
      <c r="D474" s="256">
        <v>2918.7647830697892</v>
      </c>
      <c r="E474" s="256">
        <v>3961.2628080767713</v>
      </c>
      <c r="F474" s="256">
        <v>2918.08045761833</v>
      </c>
      <c r="G474" s="256">
        <v>3971.0388859547593</v>
      </c>
      <c r="H474" s="256" t="s">
        <v>14</v>
      </c>
      <c r="I474" s="261">
        <v>1</v>
      </c>
      <c r="M474" s="399"/>
      <c r="N474" s="256">
        <v>-1140</v>
      </c>
      <c r="O474" s="256">
        <v>3016</v>
      </c>
      <c r="P474" s="256">
        <v>-1140</v>
      </c>
      <c r="Q474" s="256">
        <v>3012.5</v>
      </c>
      <c r="R474" s="256" t="s">
        <v>15</v>
      </c>
      <c r="S474" s="256">
        <v>1</v>
      </c>
      <c r="T474" s="285"/>
      <c r="AE474" s="261"/>
    </row>
    <row r="475" spans="3:31" x14ac:dyDescent="0.25">
      <c r="C475" s="399"/>
      <c r="D475" s="256">
        <v>3038.4718591267842</v>
      </c>
      <c r="E475" s="256">
        <v>3969.6423034007607</v>
      </c>
      <c r="F475" s="256">
        <v>3037.787533675325</v>
      </c>
      <c r="G475" s="256">
        <v>3979.4183812787487</v>
      </c>
      <c r="H475" s="256" t="s">
        <v>14</v>
      </c>
      <c r="I475" s="261">
        <v>1</v>
      </c>
      <c r="M475" s="399"/>
      <c r="N475" s="256">
        <v>-1120</v>
      </c>
      <c r="O475" s="256">
        <v>3016</v>
      </c>
      <c r="P475" s="256">
        <v>-1120</v>
      </c>
      <c r="Q475" s="256">
        <v>3012.5</v>
      </c>
      <c r="R475" s="256" t="s">
        <v>15</v>
      </c>
      <c r="S475" s="256">
        <v>1</v>
      </c>
      <c r="T475" s="285"/>
      <c r="AE475" s="261"/>
    </row>
    <row r="476" spans="3:31" x14ac:dyDescent="0.25">
      <c r="C476" s="399"/>
      <c r="D476" s="256">
        <v>2918.08045761833</v>
      </c>
      <c r="E476" s="256">
        <v>3971.0388859547593</v>
      </c>
      <c r="F476" s="256">
        <v>3037.787533675325</v>
      </c>
      <c r="G476" s="256">
        <v>3979.4183812787487</v>
      </c>
      <c r="H476" s="256" t="s">
        <v>14</v>
      </c>
      <c r="I476" s="261">
        <v>1</v>
      </c>
      <c r="M476" s="399"/>
      <c r="N476" s="256">
        <v>-1140</v>
      </c>
      <c r="O476" s="256">
        <v>3012.5</v>
      </c>
      <c r="P476" s="256">
        <v>-1138</v>
      </c>
      <c r="Q476" s="256">
        <v>3010.5</v>
      </c>
      <c r="R476" s="256" t="s">
        <v>15</v>
      </c>
      <c r="S476" s="256">
        <v>1</v>
      </c>
      <c r="T476" s="285"/>
      <c r="AE476" s="261"/>
    </row>
    <row r="477" spans="3:31" x14ac:dyDescent="0.25">
      <c r="C477" s="399"/>
      <c r="D477" s="256">
        <v>2934.8394482663093</v>
      </c>
      <c r="E477" s="256">
        <v>3731.6247338407688</v>
      </c>
      <c r="F477" s="256">
        <v>2932.7445744353117</v>
      </c>
      <c r="G477" s="256">
        <v>3761.5515028550176</v>
      </c>
      <c r="H477" s="256" t="s">
        <v>11</v>
      </c>
      <c r="I477" s="261">
        <v>1</v>
      </c>
      <c r="M477" s="399"/>
      <c r="N477" s="256">
        <v>-1120</v>
      </c>
      <c r="O477" s="256">
        <v>3012.5</v>
      </c>
      <c r="P477" s="256">
        <v>-1122</v>
      </c>
      <c r="Q477" s="256">
        <v>3010.5</v>
      </c>
      <c r="R477" s="256" t="s">
        <v>15</v>
      </c>
      <c r="S477" s="256">
        <v>1</v>
      </c>
      <c r="T477" s="285"/>
      <c r="AE477" s="261"/>
    </row>
    <row r="478" spans="3:31" x14ac:dyDescent="0.25">
      <c r="C478" s="399"/>
      <c r="D478" s="256">
        <v>2934.8394482663093</v>
      </c>
      <c r="E478" s="256">
        <v>3731.6247338407688</v>
      </c>
      <c r="F478" s="256">
        <v>2894.9370895806442</v>
      </c>
      <c r="G478" s="256">
        <v>3728.8315687327722</v>
      </c>
      <c r="H478" s="256" t="s">
        <v>11</v>
      </c>
      <c r="I478" s="261">
        <v>1</v>
      </c>
      <c r="M478" s="399"/>
      <c r="N478" s="256">
        <v>-1138</v>
      </c>
      <c r="O478" s="256">
        <v>3010.5</v>
      </c>
      <c r="P478" s="256">
        <v>-1122</v>
      </c>
      <c r="Q478" s="256">
        <v>3010.5</v>
      </c>
      <c r="R478" s="256" t="s">
        <v>15</v>
      </c>
      <c r="S478" s="256">
        <v>1</v>
      </c>
      <c r="T478" s="285"/>
      <c r="AE478" s="261"/>
    </row>
    <row r="479" spans="3:31" ht="15.75" thickBot="1" x14ac:dyDescent="0.3">
      <c r="C479" s="399"/>
      <c r="D479" s="256">
        <v>2932.7445744353117</v>
      </c>
      <c r="E479" s="256">
        <v>3761.5515028550176</v>
      </c>
      <c r="F479" s="256">
        <v>2892.8422157496466</v>
      </c>
      <c r="G479" s="256">
        <v>3758.758337747021</v>
      </c>
      <c r="H479" s="256" t="s">
        <v>11</v>
      </c>
      <c r="I479" s="261">
        <v>1</v>
      </c>
      <c r="M479" s="400"/>
      <c r="N479" s="264">
        <v>-1130</v>
      </c>
      <c r="O479" s="264">
        <v>3135.5</v>
      </c>
      <c r="P479" s="264">
        <v>-1130</v>
      </c>
      <c r="Q479" s="264">
        <v>2985.5</v>
      </c>
      <c r="R479" s="264" t="s">
        <v>372</v>
      </c>
      <c r="S479" s="264">
        <v>1.5</v>
      </c>
      <c r="T479" s="309"/>
      <c r="U479" s="264"/>
      <c r="V479" s="264"/>
      <c r="W479" s="264"/>
      <c r="X479" s="264"/>
      <c r="Y479" s="264"/>
      <c r="Z479" s="264"/>
      <c r="AA479" s="264"/>
      <c r="AB479" s="264"/>
      <c r="AC479" s="264"/>
      <c r="AD479" s="264"/>
      <c r="AE479" s="265"/>
    </row>
    <row r="480" spans="3:31" ht="15.75" thickBot="1" x14ac:dyDescent="0.3">
      <c r="C480" s="399"/>
      <c r="D480" s="256">
        <v>2894.9370895806442</v>
      </c>
      <c r="E480" s="256">
        <v>3728.8315687327722</v>
      </c>
      <c r="F480" s="256">
        <v>2892.8422157496466</v>
      </c>
      <c r="G480" s="256">
        <v>3758.758337747021</v>
      </c>
      <c r="H480" s="256" t="s">
        <v>11</v>
      </c>
      <c r="I480" s="261">
        <v>1</v>
      </c>
    </row>
    <row r="481" spans="3:26" x14ac:dyDescent="0.25">
      <c r="C481" s="399"/>
      <c r="D481" s="256">
        <v>2989.5056796656704</v>
      </c>
      <c r="E481" s="256">
        <v>3765.5247802211425</v>
      </c>
      <c r="F481" s="256">
        <v>2914.6887571300481</v>
      </c>
      <c r="G481" s="256">
        <v>3760.2875956436492</v>
      </c>
      <c r="H481" s="256" t="s">
        <v>11</v>
      </c>
      <c r="I481" s="261">
        <v>1</v>
      </c>
      <c r="M481" s="394" t="s">
        <v>479</v>
      </c>
      <c r="N481" s="395"/>
      <c r="O481" s="395"/>
      <c r="P481" s="395"/>
      <c r="Q481" s="395"/>
      <c r="R481" s="395"/>
      <c r="S481" s="395"/>
      <c r="T481" s="395"/>
      <c r="U481" s="395"/>
      <c r="V481" s="395"/>
      <c r="W481" s="395"/>
      <c r="X481" s="395"/>
      <c r="Y481" s="395"/>
      <c r="Z481" s="396"/>
    </row>
    <row r="482" spans="3:26" ht="15.75" thickBot="1" x14ac:dyDescent="0.3">
      <c r="C482" s="399"/>
      <c r="D482" s="256">
        <v>2989.5056796656704</v>
      </c>
      <c r="E482" s="256">
        <v>3765.5247802211425</v>
      </c>
      <c r="F482" s="256">
        <v>2979.0313105106834</v>
      </c>
      <c r="G482" s="256">
        <v>3915.1586252923867</v>
      </c>
      <c r="H482" s="256" t="s">
        <v>11</v>
      </c>
      <c r="I482" s="261">
        <v>1</v>
      </c>
      <c r="M482" s="260"/>
      <c r="N482" s="256" t="s">
        <v>83</v>
      </c>
      <c r="O482" s="256" t="s">
        <v>84</v>
      </c>
      <c r="P482" s="256" t="s">
        <v>83</v>
      </c>
      <c r="Q482" s="256" t="s">
        <v>84</v>
      </c>
      <c r="Z482" s="261"/>
    </row>
    <row r="483" spans="3:26" ht="15.75" thickBot="1" x14ac:dyDescent="0.3">
      <c r="C483" s="399"/>
      <c r="D483" s="256">
        <v>2979.0313105106834</v>
      </c>
      <c r="E483" s="256">
        <v>3915.1586252923867</v>
      </c>
      <c r="F483" s="256">
        <v>2974.542295158546</v>
      </c>
      <c r="G483" s="256">
        <v>3914.8443942177373</v>
      </c>
      <c r="H483" s="256" t="s">
        <v>11</v>
      </c>
      <c r="I483" s="261">
        <v>1</v>
      </c>
      <c r="M483" s="391" t="s">
        <v>481</v>
      </c>
      <c r="N483" s="258">
        <f>-Parametry!E52-Parametry!Q9/2</f>
        <v>-1360</v>
      </c>
      <c r="O483" s="258">
        <f>O322-Parametry!E63</f>
        <v>1894</v>
      </c>
      <c r="P483" s="258">
        <f>N483</f>
        <v>-1360</v>
      </c>
      <c r="Q483" s="258">
        <f>O483-Parametry!R9</f>
        <v>1574</v>
      </c>
      <c r="R483" s="258" t="s">
        <v>5</v>
      </c>
      <c r="S483" s="258">
        <v>1</v>
      </c>
      <c r="T483" s="295"/>
      <c r="V483" s="391" t="s">
        <v>203</v>
      </c>
      <c r="W483" s="392"/>
      <c r="X483" s="392"/>
      <c r="Y483" s="393"/>
      <c r="Z483" s="261"/>
    </row>
    <row r="484" spans="3:26" x14ac:dyDescent="0.25">
      <c r="C484" s="399"/>
      <c r="D484" s="256">
        <v>2914.6887571300481</v>
      </c>
      <c r="E484" s="256">
        <v>3760.2875956436492</v>
      </c>
      <c r="F484" s="256">
        <v>2914.3745260553987</v>
      </c>
      <c r="G484" s="256">
        <v>3764.7766109957865</v>
      </c>
      <c r="H484" s="256" t="s">
        <v>11</v>
      </c>
      <c r="I484" s="261">
        <v>1</v>
      </c>
      <c r="M484" s="399"/>
      <c r="N484" s="256" cm="1">
        <f t="array" ref="N484:O484">N483:O483</f>
        <v>-1360</v>
      </c>
      <c r="O484" s="256">
        <v>1894</v>
      </c>
      <c r="P484" s="256">
        <f>N484+Parametry!Q9</f>
        <v>-1040</v>
      </c>
      <c r="Q484" s="256">
        <f>O484</f>
        <v>1894</v>
      </c>
      <c r="R484" s="256" t="s">
        <v>5</v>
      </c>
      <c r="S484" s="256">
        <v>1</v>
      </c>
      <c r="T484" s="285"/>
      <c r="V484" s="308" t="s">
        <v>205</v>
      </c>
      <c r="W484" s="308" t="s">
        <v>208</v>
      </c>
      <c r="X484" s="308" t="s">
        <v>206</v>
      </c>
      <c r="Y484" s="308" t="s">
        <v>207</v>
      </c>
      <c r="Z484" s="261"/>
    </row>
    <row r="485" spans="3:26" ht="15.75" thickBot="1" x14ac:dyDescent="0.3">
      <c r="C485" s="399"/>
      <c r="D485" s="256">
        <v>2969.4397810416167</v>
      </c>
      <c r="E485" s="256">
        <v>3908.9737596961086</v>
      </c>
      <c r="F485" s="256">
        <v>2978.063678312556</v>
      </c>
      <c r="G485" s="256">
        <v>3785.7752272541175</v>
      </c>
      <c r="H485" s="256" t="s">
        <v>11</v>
      </c>
      <c r="I485" s="261">
        <v>1</v>
      </c>
      <c r="M485" s="399"/>
      <c r="N485" s="256" cm="1">
        <f t="array" ref="N485:O485">P483:Q483</f>
        <v>-1360</v>
      </c>
      <c r="O485" s="256">
        <v>1574</v>
      </c>
      <c r="P485" s="256">
        <f>P484</f>
        <v>-1040</v>
      </c>
      <c r="Q485" s="256">
        <f>O485</f>
        <v>1574</v>
      </c>
      <c r="R485" s="256" t="s">
        <v>5</v>
      </c>
      <c r="S485" s="256">
        <v>1</v>
      </c>
      <c r="T485" s="285"/>
      <c r="V485" s="284" t="s">
        <v>204</v>
      </c>
      <c r="W485" s="284">
        <v>2</v>
      </c>
      <c r="X485" s="309">
        <f>RADIANS(0)</f>
        <v>0</v>
      </c>
      <c r="Y485" s="284" t="s">
        <v>6</v>
      </c>
      <c r="Z485" s="261"/>
    </row>
    <row r="486" spans="3:26" ht="15.75" thickBot="1" x14ac:dyDescent="0.3">
      <c r="C486" s="399"/>
      <c r="D486" s="256">
        <v>2919.4770401723281</v>
      </c>
      <c r="E486" s="256">
        <v>3770.6472455174148</v>
      </c>
      <c r="F486" s="256">
        <v>2967.8586500786969</v>
      </c>
      <c r="G486" s="256">
        <v>3774.0339582108609</v>
      </c>
      <c r="H486" s="256" t="s">
        <v>11</v>
      </c>
      <c r="I486" s="261">
        <v>1</v>
      </c>
      <c r="M486" s="400"/>
      <c r="N486" s="264" cm="1">
        <f t="array" ref="N486:O486">P484:Q484</f>
        <v>-1040</v>
      </c>
      <c r="O486" s="264">
        <v>1894</v>
      </c>
      <c r="P486" s="264" cm="1">
        <f t="array" ref="P486:Q486">P485:Q485</f>
        <v>-1040</v>
      </c>
      <c r="Q486" s="264">
        <v>1574</v>
      </c>
      <c r="R486" s="264" t="s">
        <v>5</v>
      </c>
      <c r="S486" s="264">
        <v>1</v>
      </c>
      <c r="T486" s="309"/>
      <c r="V486" s="284" t="s">
        <v>204</v>
      </c>
      <c r="W486" s="284">
        <v>2</v>
      </c>
      <c r="X486" s="309">
        <f>RADIANS(0)</f>
        <v>0</v>
      </c>
      <c r="Y486" s="284" t="s">
        <v>14</v>
      </c>
      <c r="Z486" s="261"/>
    </row>
    <row r="487" spans="3:26" x14ac:dyDescent="0.25">
      <c r="C487" s="399"/>
      <c r="D487" s="256">
        <v>2896.5331839280707</v>
      </c>
      <c r="E487" s="256">
        <v>3849.2369360667662</v>
      </c>
      <c r="F487" s="256">
        <v>3076.0937980135632</v>
      </c>
      <c r="G487" s="256">
        <v>3861.8061790527508</v>
      </c>
      <c r="H487" s="256" t="s">
        <v>9</v>
      </c>
      <c r="I487" s="261">
        <v>2</v>
      </c>
      <c r="M487" s="391" t="s">
        <v>482</v>
      </c>
      <c r="N487" s="258">
        <f>N483</f>
        <v>-1360</v>
      </c>
      <c r="O487" s="258">
        <f>O483-Parametry!R9/2+Parametry!O35/2</f>
        <v>1737</v>
      </c>
      <c r="P487" s="258">
        <f>P484</f>
        <v>-1040</v>
      </c>
      <c r="Q487" s="258">
        <f>O487</f>
        <v>1737</v>
      </c>
      <c r="R487" s="258" t="s">
        <v>5</v>
      </c>
      <c r="S487" s="258">
        <v>1</v>
      </c>
      <c r="T487" s="295">
        <v>1</v>
      </c>
      <c r="V487" s="256">
        <f>COLUMN(V486)</f>
        <v>22</v>
      </c>
      <c r="W487" s="256">
        <f t="shared" ref="W487:Z487" si="74">COLUMN(W486)</f>
        <v>23</v>
      </c>
      <c r="X487" s="256">
        <f t="shared" si="74"/>
        <v>24</v>
      </c>
      <c r="Y487" s="256">
        <f t="shared" si="74"/>
        <v>25</v>
      </c>
      <c r="Z487" s="261">
        <f t="shared" si="74"/>
        <v>26</v>
      </c>
    </row>
    <row r="488" spans="3:26" x14ac:dyDescent="0.25">
      <c r="C488" s="399"/>
      <c r="D488" s="256">
        <v>3002.9547696606737</v>
      </c>
      <c r="E488" s="256">
        <v>3834.0311447306267</v>
      </c>
      <c r="F488" s="256">
        <v>3004.6167028999316</v>
      </c>
      <c r="G488" s="256">
        <v>3810.289241312656</v>
      </c>
      <c r="H488" s="256" t="s">
        <v>14</v>
      </c>
      <c r="I488" s="261">
        <v>1</v>
      </c>
      <c r="M488" s="399"/>
      <c r="N488" s="256">
        <f>N487</f>
        <v>-1360</v>
      </c>
      <c r="O488" s="256">
        <f>O487-Parametry!O35</f>
        <v>1731</v>
      </c>
      <c r="P488" s="256">
        <f>P487</f>
        <v>-1040</v>
      </c>
      <c r="Q488" s="256">
        <f>O488</f>
        <v>1731</v>
      </c>
      <c r="R488" s="355" t="str">
        <f>$R$487</f>
        <v>Blachy</v>
      </c>
      <c r="S488" s="256">
        <v>1</v>
      </c>
      <c r="T488" s="285">
        <v>1</v>
      </c>
      <c r="Z488" s="261"/>
    </row>
    <row r="489" spans="3:26" ht="15.75" thickBot="1" x14ac:dyDescent="0.3">
      <c r="C489" s="399"/>
      <c r="D489" s="256">
        <v>3004.6167028999316</v>
      </c>
      <c r="E489" s="256">
        <v>3810.289241312656</v>
      </c>
      <c r="F489" s="256">
        <v>3002.7612432210481</v>
      </c>
      <c r="G489" s="256">
        <v>3808.1544651229729</v>
      </c>
      <c r="H489" s="256" t="s">
        <v>14</v>
      </c>
      <c r="I489" s="261">
        <v>1</v>
      </c>
      <c r="M489" s="399"/>
      <c r="N489" s="256" cm="1">
        <f t="array" ref="N489:O489">N487:O487</f>
        <v>-1360</v>
      </c>
      <c r="O489" s="256">
        <v>1737</v>
      </c>
      <c r="P489" s="256" cm="1">
        <f t="array" ref="P489:Q489">N488:O488</f>
        <v>-1360</v>
      </c>
      <c r="Q489" s="256">
        <v>1731</v>
      </c>
      <c r="R489" s="355" t="str">
        <f t="shared" ref="R489:R490" si="75">$R$487</f>
        <v>Blachy</v>
      </c>
      <c r="S489" s="256">
        <v>1</v>
      </c>
      <c r="T489" s="285">
        <v>1</v>
      </c>
      <c r="Z489" s="261"/>
    </row>
    <row r="490" spans="3:26" ht="15.75" thickBot="1" x14ac:dyDescent="0.3">
      <c r="C490" s="399"/>
      <c r="D490" s="256">
        <v>3002.9547696606737</v>
      </c>
      <c r="E490" s="256">
        <v>3834.0311447306267</v>
      </c>
      <c r="F490" s="256">
        <v>3000.8199934709905</v>
      </c>
      <c r="G490" s="256">
        <v>3835.8866044095103</v>
      </c>
      <c r="H490" s="256" t="s">
        <v>14</v>
      </c>
      <c r="I490" s="261">
        <v>1</v>
      </c>
      <c r="M490" s="400"/>
      <c r="N490" s="264" cm="1">
        <f t="array" ref="N490:O490">P487:Q487</f>
        <v>-1040</v>
      </c>
      <c r="O490" s="264">
        <v>1737</v>
      </c>
      <c r="P490" s="264" cm="1">
        <f t="array" ref="P490:Q490">P488:Q488</f>
        <v>-1040</v>
      </c>
      <c r="Q490" s="264">
        <v>1731</v>
      </c>
      <c r="R490" s="356" t="str">
        <f t="shared" si="75"/>
        <v>Blachy</v>
      </c>
      <c r="S490" s="264">
        <v>1</v>
      </c>
      <c r="T490" s="309">
        <v>1</v>
      </c>
      <c r="V490" s="394" t="s">
        <v>472</v>
      </c>
      <c r="W490" s="395"/>
      <c r="X490" s="395"/>
      <c r="Y490" s="395"/>
      <c r="Z490" s="396"/>
    </row>
    <row r="491" spans="3:26" x14ac:dyDescent="0.25">
      <c r="C491" s="399"/>
      <c r="D491" s="256">
        <v>3002.7612432210481</v>
      </c>
      <c r="E491" s="256">
        <v>3808.1544651229729</v>
      </c>
      <c r="F491" s="256">
        <v>2994.780771483915</v>
      </c>
      <c r="G491" s="256">
        <v>3807.5958321013736</v>
      </c>
      <c r="H491" s="256" t="s">
        <v>14</v>
      </c>
      <c r="I491" s="261">
        <v>1</v>
      </c>
      <c r="M491" s="391" t="s">
        <v>483</v>
      </c>
      <c r="N491" s="257">
        <f>N483+Parametry!Q9/2-Parametry!M6/2</f>
        <v>-1206</v>
      </c>
      <c r="O491" s="258">
        <f>O483</f>
        <v>1894</v>
      </c>
      <c r="P491" s="258">
        <f>N491+Parametry!M6</f>
        <v>-1194</v>
      </c>
      <c r="Q491" s="258">
        <f>O491</f>
        <v>1894</v>
      </c>
      <c r="R491" s="258" t="s">
        <v>5</v>
      </c>
      <c r="S491" s="258">
        <v>1</v>
      </c>
      <c r="T491" s="295">
        <v>2</v>
      </c>
      <c r="V491" s="271" t="s">
        <v>83</v>
      </c>
      <c r="W491" s="266" t="s">
        <v>84</v>
      </c>
      <c r="X491" s="266" t="s">
        <v>101</v>
      </c>
      <c r="Y491" s="266" t="s">
        <v>97</v>
      </c>
      <c r="Z491" s="293" t="s">
        <v>19</v>
      </c>
    </row>
    <row r="492" spans="3:26" x14ac:dyDescent="0.25">
      <c r="C492" s="399"/>
      <c r="D492" s="256">
        <v>3000.8199934709905</v>
      </c>
      <c r="E492" s="256">
        <v>3835.8866044095103</v>
      </c>
      <c r="F492" s="256">
        <v>2992.8395217338575</v>
      </c>
      <c r="G492" s="256">
        <v>3835.327971387911</v>
      </c>
      <c r="H492" s="256" t="s">
        <v>14</v>
      </c>
      <c r="I492" s="261">
        <v>1</v>
      </c>
      <c r="M492" s="399"/>
      <c r="N492" s="260" cm="1">
        <f t="array" ref="N492:O492">N491:O491</f>
        <v>-1206</v>
      </c>
      <c r="O492" s="256">
        <v>1894</v>
      </c>
      <c r="P492" s="256">
        <f>N492</f>
        <v>-1206</v>
      </c>
      <c r="Q492" s="256">
        <f>O487+Parametry!E49</f>
        <v>1757</v>
      </c>
      <c r="R492" s="355" t="str">
        <f>$R$491</f>
        <v>Blachy</v>
      </c>
      <c r="S492" s="256">
        <v>1</v>
      </c>
      <c r="T492" s="285">
        <v>2</v>
      </c>
      <c r="V492" s="260">
        <f>N483+Parametry!Q9/2-Parametry!S40/2</f>
        <v>-1280</v>
      </c>
      <c r="W492" s="256">
        <f>O483-Parametry!R11/2+Parametry!R40/2</f>
        <v>1804</v>
      </c>
      <c r="X492" s="256">
        <v>11</v>
      </c>
      <c r="Y492" s="256" t="s">
        <v>11</v>
      </c>
      <c r="Z492" s="261">
        <v>1</v>
      </c>
    </row>
    <row r="493" spans="3:26" x14ac:dyDescent="0.25">
      <c r="C493" s="399"/>
      <c r="D493" s="256">
        <v>2992.490376095358</v>
      </c>
      <c r="E493" s="256">
        <v>3840.315766223619</v>
      </c>
      <c r="F493" s="256">
        <v>2995.1299171224146</v>
      </c>
      <c r="G493" s="256">
        <v>3802.6080372656656</v>
      </c>
      <c r="H493" s="256" t="s">
        <v>14</v>
      </c>
      <c r="I493" s="261">
        <v>1</v>
      </c>
      <c r="M493" s="399"/>
      <c r="N493" s="260">
        <f>P491</f>
        <v>-1194</v>
      </c>
      <c r="O493" s="256">
        <f>O492</f>
        <v>1894</v>
      </c>
      <c r="P493" s="256">
        <f>N493</f>
        <v>-1194</v>
      </c>
      <c r="Q493" s="256">
        <f>Q492</f>
        <v>1757</v>
      </c>
      <c r="R493" s="355" t="str">
        <f t="shared" ref="R493:R495" si="76">$R$491</f>
        <v>Blachy</v>
      </c>
      <c r="S493" s="256">
        <v>1</v>
      </c>
      <c r="T493" s="285">
        <v>2</v>
      </c>
      <c r="V493" s="260">
        <f>V492</f>
        <v>-1280</v>
      </c>
      <c r="W493" s="256">
        <f>O483-Parametry!R11/2-Parametry!R40/2</f>
        <v>1664</v>
      </c>
      <c r="X493" s="256">
        <v>11</v>
      </c>
      <c r="Y493" s="256" t="s">
        <v>11</v>
      </c>
      <c r="Z493" s="261">
        <v>1</v>
      </c>
    </row>
    <row r="494" spans="3:26" ht="15.75" thickBot="1" x14ac:dyDescent="0.3">
      <c r="C494" s="399"/>
      <c r="D494" s="256">
        <v>2992.490376095358</v>
      </c>
      <c r="E494" s="256">
        <v>3840.315766223619</v>
      </c>
      <c r="F494" s="256">
        <v>2990.4952581610746</v>
      </c>
      <c r="G494" s="256">
        <v>3840.1761079682192</v>
      </c>
      <c r="H494" s="256" t="s">
        <v>14</v>
      </c>
      <c r="I494" s="261">
        <v>1</v>
      </c>
      <c r="M494" s="399"/>
      <c r="N494" s="263" cm="1">
        <f t="array" ref="N494:O494">P493:Q493</f>
        <v>-1194</v>
      </c>
      <c r="O494" s="264">
        <v>1757</v>
      </c>
      <c r="P494" s="264" cm="1">
        <f t="array" ref="P494:Q494">P492:Q492</f>
        <v>-1206</v>
      </c>
      <c r="Q494" s="264">
        <v>1757</v>
      </c>
      <c r="R494" s="356" t="str">
        <f t="shared" si="76"/>
        <v>Blachy</v>
      </c>
      <c r="S494" s="264">
        <v>1</v>
      </c>
      <c r="T494" s="309">
        <v>2</v>
      </c>
      <c r="V494" s="260">
        <f>N483+Parametry!Q9/2+Parametry!S40/2</f>
        <v>-1120</v>
      </c>
      <c r="W494" s="256">
        <f>W492</f>
        <v>1804</v>
      </c>
      <c r="X494" s="256">
        <v>11</v>
      </c>
      <c r="Y494" s="256" t="s">
        <v>11</v>
      </c>
      <c r="Z494" s="261">
        <v>1</v>
      </c>
    </row>
    <row r="495" spans="3:26" ht="15.75" thickBot="1" x14ac:dyDescent="0.3">
      <c r="C495" s="399"/>
      <c r="D495" s="256">
        <v>2995.1299171224146</v>
      </c>
      <c r="E495" s="256">
        <v>3802.6080372656656</v>
      </c>
      <c r="F495" s="256">
        <v>2993.1347991881316</v>
      </c>
      <c r="G495" s="256">
        <v>3802.4683790102658</v>
      </c>
      <c r="H495" s="256" t="s">
        <v>14</v>
      </c>
      <c r="I495" s="261">
        <v>1</v>
      </c>
      <c r="M495" s="399"/>
      <c r="N495" s="257">
        <f>N491</f>
        <v>-1206</v>
      </c>
      <c r="O495" s="258">
        <f>O488-Parametry!E49</f>
        <v>1711</v>
      </c>
      <c r="P495" s="258">
        <f>P493</f>
        <v>-1194</v>
      </c>
      <c r="Q495" s="258">
        <f>O495</f>
        <v>1711</v>
      </c>
      <c r="R495" s="258" t="str">
        <f t="shared" si="76"/>
        <v>Blachy</v>
      </c>
      <c r="S495" s="258">
        <v>1</v>
      </c>
      <c r="T495" s="295">
        <v>3</v>
      </c>
      <c r="V495" s="263">
        <f>V494</f>
        <v>-1120</v>
      </c>
      <c r="W495" s="264">
        <f>W493</f>
        <v>1664</v>
      </c>
      <c r="X495" s="264">
        <v>11</v>
      </c>
      <c r="Y495" s="264" t="s">
        <v>11</v>
      </c>
      <c r="Z495" s="265">
        <v>1</v>
      </c>
    </row>
    <row r="496" spans="3:26" x14ac:dyDescent="0.25">
      <c r="C496" s="399"/>
      <c r="D496" s="256">
        <v>2990.4952581610746</v>
      </c>
      <c r="E496" s="256">
        <v>3840.1761079682192</v>
      </c>
      <c r="F496" s="256">
        <v>2993.1347991881316</v>
      </c>
      <c r="G496" s="256">
        <v>3802.4683790102658</v>
      </c>
      <c r="H496" s="256" t="s">
        <v>14</v>
      </c>
      <c r="I496" s="261">
        <v>1</v>
      </c>
      <c r="M496" s="399"/>
      <c r="N496" s="260">
        <f>N495</f>
        <v>-1206</v>
      </c>
      <c r="O496" s="256">
        <f>O495</f>
        <v>1711</v>
      </c>
      <c r="P496" s="256">
        <f>N496</f>
        <v>-1206</v>
      </c>
      <c r="Q496" s="256">
        <f>Q483</f>
        <v>1574</v>
      </c>
      <c r="R496" s="355" t="str">
        <f>$R$495</f>
        <v>Blachy</v>
      </c>
      <c r="S496" s="256">
        <v>1</v>
      </c>
      <c r="T496" s="285">
        <v>3</v>
      </c>
      <c r="Z496" s="261"/>
    </row>
    <row r="497" spans="3:26" x14ac:dyDescent="0.25">
      <c r="C497" s="399"/>
      <c r="D497" s="256">
        <v>3003.3004238427884</v>
      </c>
      <c r="E497" s="256">
        <v>3829.0932278432756</v>
      </c>
      <c r="F497" s="256">
        <v>2993.324834171372</v>
      </c>
      <c r="G497" s="256">
        <v>3828.3949365662766</v>
      </c>
      <c r="H497" s="256" t="s">
        <v>14</v>
      </c>
      <c r="I497" s="261">
        <v>1</v>
      </c>
      <c r="M497" s="399"/>
      <c r="N497" s="260">
        <f>P495</f>
        <v>-1194</v>
      </c>
      <c r="O497" s="256">
        <f>Q495</f>
        <v>1711</v>
      </c>
      <c r="P497" s="256">
        <f>N497</f>
        <v>-1194</v>
      </c>
      <c r="Q497" s="256">
        <f>Q496</f>
        <v>1574</v>
      </c>
      <c r="R497" s="355" t="str">
        <f t="shared" ref="R497:R498" si="77">$R$495</f>
        <v>Blachy</v>
      </c>
      <c r="S497" s="256">
        <v>1</v>
      </c>
      <c r="T497" s="285">
        <v>3</v>
      </c>
      <c r="Z497" s="261"/>
    </row>
    <row r="498" spans="3:26" ht="15.75" thickBot="1" x14ac:dyDescent="0.3">
      <c r="C498" s="399"/>
      <c r="D498" s="256">
        <v>3004.2710487178174</v>
      </c>
      <c r="E498" s="256">
        <v>3815.2271582000071</v>
      </c>
      <c r="F498" s="256">
        <v>2994.295459046401</v>
      </c>
      <c r="G498" s="256">
        <v>3814.5288669230081</v>
      </c>
      <c r="H498" s="256" t="s">
        <v>14</v>
      </c>
      <c r="I498" s="261">
        <v>1</v>
      </c>
      <c r="M498" s="400"/>
      <c r="N498" s="263" cm="1">
        <f t="array" ref="N498:O498">P497:Q497</f>
        <v>-1194</v>
      </c>
      <c r="O498" s="264">
        <v>1574</v>
      </c>
      <c r="P498" s="264" cm="1">
        <f t="array" ref="P498:Q498">P496:Q496</f>
        <v>-1206</v>
      </c>
      <c r="Q498" s="264">
        <v>1574</v>
      </c>
      <c r="R498" s="356" t="str">
        <f t="shared" si="77"/>
        <v>Blachy</v>
      </c>
      <c r="S498" s="264">
        <v>1</v>
      </c>
      <c r="T498" s="309">
        <v>3</v>
      </c>
      <c r="Z498" s="261"/>
    </row>
    <row r="499" spans="3:26" x14ac:dyDescent="0.25">
      <c r="C499" s="399"/>
      <c r="D499" s="256">
        <v>2991.2563956530043</v>
      </c>
      <c r="E499" s="256">
        <v>3829.3027152263753</v>
      </c>
      <c r="F499" s="256">
        <v>2975.0959403853099</v>
      </c>
      <c r="G499" s="256">
        <v>3828.1714833576366</v>
      </c>
      <c r="H499" s="256" t="s">
        <v>427</v>
      </c>
      <c r="I499" s="261">
        <v>1.5</v>
      </c>
      <c r="M499" s="391" t="s">
        <v>112</v>
      </c>
      <c r="N499" s="258">
        <f>N483+Parametry!Q9/2-Parametry!Q11/2</f>
        <v>-1240</v>
      </c>
      <c r="O499" s="258">
        <f>O483-Parametry!R9/2+Parametry!R11/2</f>
        <v>1894</v>
      </c>
      <c r="P499" s="258">
        <f>N499+Parametry!Q11</f>
        <v>-1160</v>
      </c>
      <c r="Q499" s="258">
        <f>O499</f>
        <v>1894</v>
      </c>
      <c r="R499" s="258" t="s">
        <v>274</v>
      </c>
      <c r="S499" s="258">
        <v>2</v>
      </c>
      <c r="T499" s="295"/>
      <c r="Z499" s="261"/>
    </row>
    <row r="500" spans="3:26" x14ac:dyDescent="0.25">
      <c r="C500" s="399"/>
      <c r="D500" s="256">
        <v>2992.3736616962028</v>
      </c>
      <c r="E500" s="256">
        <v>3813.3417717521093</v>
      </c>
      <c r="F500" s="256">
        <v>2976.2132064285083</v>
      </c>
      <c r="G500" s="256">
        <v>3812.2105398833705</v>
      </c>
      <c r="H500" s="256" t="s">
        <v>427</v>
      </c>
      <c r="I500" s="261">
        <v>1.5</v>
      </c>
      <c r="M500" s="399"/>
      <c r="N500" s="256" cm="1">
        <f t="array" ref="N500:O500">N499:O499</f>
        <v>-1240</v>
      </c>
      <c r="O500" s="256">
        <v>1894</v>
      </c>
      <c r="P500" s="256">
        <f>N500</f>
        <v>-1240</v>
      </c>
      <c r="Q500" s="256">
        <f>O500-Parametry!R11</f>
        <v>1574</v>
      </c>
      <c r="R500" s="256" t="s">
        <v>274</v>
      </c>
      <c r="S500" s="256">
        <v>2</v>
      </c>
      <c r="T500" s="285"/>
      <c r="Z500" s="261"/>
    </row>
    <row r="501" spans="3:26" x14ac:dyDescent="0.25">
      <c r="C501" s="399"/>
      <c r="D501" s="256">
        <v>2974.3348028933806</v>
      </c>
      <c r="E501" s="256">
        <v>3839.0448760994805</v>
      </c>
      <c r="F501" s="256">
        <v>2976.9743439204371</v>
      </c>
      <c r="G501" s="256">
        <v>3801.3371471415271</v>
      </c>
      <c r="H501" s="256" t="s">
        <v>14</v>
      </c>
      <c r="I501" s="261">
        <v>1</v>
      </c>
      <c r="M501" s="399"/>
      <c r="N501" s="256" cm="1">
        <f t="array" ref="N501:O501">P499:Q499</f>
        <v>-1160</v>
      </c>
      <c r="O501" s="256">
        <v>1894</v>
      </c>
      <c r="P501" s="256">
        <f>N501</f>
        <v>-1160</v>
      </c>
      <c r="Q501" s="256">
        <f>Q500</f>
        <v>1574</v>
      </c>
      <c r="R501" s="256" t="s">
        <v>274</v>
      </c>
      <c r="S501" s="256">
        <v>2</v>
      </c>
      <c r="T501" s="285"/>
      <c r="Z501" s="261"/>
    </row>
    <row r="502" spans="3:26" ht="15.75" thickBot="1" x14ac:dyDescent="0.3">
      <c r="C502" s="399"/>
      <c r="D502" s="256">
        <v>2974.3348028933806</v>
      </c>
      <c r="E502" s="256">
        <v>3839.0448760994805</v>
      </c>
      <c r="F502" s="256">
        <v>2972.3396849590972</v>
      </c>
      <c r="G502" s="256">
        <v>3838.9052178440807</v>
      </c>
      <c r="H502" s="256" t="s">
        <v>14</v>
      </c>
      <c r="I502" s="261">
        <v>1</v>
      </c>
      <c r="M502" s="400"/>
      <c r="N502" s="264" cm="1">
        <f t="array" ref="N502:O502">P501:Q501</f>
        <v>-1160</v>
      </c>
      <c r="O502" s="264">
        <v>1574</v>
      </c>
      <c r="P502" s="264" cm="1">
        <f t="array" ref="P502:Q502">P500:Q500</f>
        <v>-1240</v>
      </c>
      <c r="Q502" s="264">
        <v>1574</v>
      </c>
      <c r="R502" s="264" t="s">
        <v>274</v>
      </c>
      <c r="S502" s="264">
        <v>2</v>
      </c>
      <c r="T502" s="309"/>
      <c r="Z502" s="261"/>
    </row>
    <row r="503" spans="3:26" x14ac:dyDescent="0.25">
      <c r="C503" s="399"/>
      <c r="D503" s="256">
        <v>2976.9743439204371</v>
      </c>
      <c r="E503" s="256">
        <v>3801.3371471415271</v>
      </c>
      <c r="F503" s="256">
        <v>2974.9792259861538</v>
      </c>
      <c r="G503" s="256">
        <v>3801.1974888861273</v>
      </c>
      <c r="H503" s="256" t="s">
        <v>14</v>
      </c>
      <c r="I503" s="261">
        <v>1</v>
      </c>
      <c r="M503" s="402" t="s">
        <v>484</v>
      </c>
      <c r="N503" s="258">
        <f>N499-Parametry!U9</f>
        <v>-1250</v>
      </c>
      <c r="O503" s="258">
        <f>O483-Parametry!R9/2+Parametry!R10/2</f>
        <v>1844</v>
      </c>
      <c r="P503" s="258">
        <f>N503-Parametry!Q10</f>
        <v>-1310</v>
      </c>
      <c r="Q503" s="258">
        <f>O503</f>
        <v>1844</v>
      </c>
      <c r="R503" s="258" t="s">
        <v>274</v>
      </c>
      <c r="S503" s="258">
        <v>2</v>
      </c>
      <c r="T503" s="295"/>
      <c r="Z503" s="261"/>
    </row>
    <row r="504" spans="3:26" x14ac:dyDescent="0.25">
      <c r="C504" s="399"/>
      <c r="D504" s="256">
        <v>2972.3396849590972</v>
      </c>
      <c r="E504" s="256">
        <v>3838.9052178440807</v>
      </c>
      <c r="F504" s="256">
        <v>2974.9792259861538</v>
      </c>
      <c r="G504" s="256">
        <v>3801.1974888861273</v>
      </c>
      <c r="H504" s="256" t="s">
        <v>14</v>
      </c>
      <c r="I504" s="261">
        <v>1</v>
      </c>
      <c r="M504" s="403"/>
      <c r="N504" s="256" cm="1">
        <f t="array" ref="N504:O504">N503:O503</f>
        <v>-1250</v>
      </c>
      <c r="O504" s="256">
        <v>1844</v>
      </c>
      <c r="P504" s="256">
        <f>N504</f>
        <v>-1250</v>
      </c>
      <c r="Q504" s="256">
        <f>O504-Parametry!R10</f>
        <v>1624</v>
      </c>
      <c r="R504" s="256" t="s">
        <v>274</v>
      </c>
      <c r="S504" s="256">
        <v>2</v>
      </c>
      <c r="T504" s="285"/>
      <c r="Z504" s="261"/>
    </row>
    <row r="505" spans="3:26" x14ac:dyDescent="0.25">
      <c r="C505" s="399"/>
      <c r="D505" s="256">
        <v>2972.8284888529965</v>
      </c>
      <c r="E505" s="256">
        <v>3831.9223050740893</v>
      </c>
      <c r="F505" s="256">
        <v>2970.6937126633134</v>
      </c>
      <c r="G505" s="256">
        <v>3833.7777647529729</v>
      </c>
      <c r="H505" s="256" t="s">
        <v>14</v>
      </c>
      <c r="I505" s="261">
        <v>1</v>
      </c>
      <c r="M505" s="403"/>
      <c r="N505" s="256" cm="1">
        <f t="array" ref="N505:O505">P503:Q503</f>
        <v>-1310</v>
      </c>
      <c r="O505" s="256">
        <v>1844</v>
      </c>
      <c r="P505" s="256">
        <f>N505</f>
        <v>-1310</v>
      </c>
      <c r="Q505" s="256">
        <f>Q504</f>
        <v>1624</v>
      </c>
      <c r="R505" s="256" t="s">
        <v>274</v>
      </c>
      <c r="S505" s="256">
        <v>2</v>
      </c>
      <c r="T505" s="285"/>
      <c r="Z505" s="261"/>
    </row>
    <row r="506" spans="3:26" ht="15.75" thickBot="1" x14ac:dyDescent="0.3">
      <c r="C506" s="399"/>
      <c r="D506" s="256">
        <v>2974.4904220922544</v>
      </c>
      <c r="E506" s="256">
        <v>3808.1804016561186</v>
      </c>
      <c r="F506" s="256">
        <v>2972.6349624133709</v>
      </c>
      <c r="G506" s="256">
        <v>3806.0456254664355</v>
      </c>
      <c r="H506" s="256" t="s">
        <v>14</v>
      </c>
      <c r="I506" s="261">
        <v>1</v>
      </c>
      <c r="M506" s="404"/>
      <c r="N506" s="264" cm="1">
        <f t="array" ref="N506:O506">P505:Q505</f>
        <v>-1310</v>
      </c>
      <c r="O506" s="264">
        <v>1624</v>
      </c>
      <c r="P506" s="264" cm="1">
        <f t="array" ref="P506:Q506">P504:Q504</f>
        <v>-1250</v>
      </c>
      <c r="Q506" s="264">
        <v>1624</v>
      </c>
      <c r="R506" s="264" t="s">
        <v>274</v>
      </c>
      <c r="S506" s="264">
        <v>2</v>
      </c>
      <c r="T506" s="309"/>
      <c r="Z506" s="261"/>
    </row>
    <row r="507" spans="3:26" x14ac:dyDescent="0.25">
      <c r="C507" s="399"/>
      <c r="D507" s="256">
        <v>2972.6349624133709</v>
      </c>
      <c r="E507" s="256">
        <v>3806.0456254664355</v>
      </c>
      <c r="F507" s="256">
        <v>2963.6569317090962</v>
      </c>
      <c r="G507" s="256">
        <v>3805.4171633171363</v>
      </c>
      <c r="H507" s="256" t="s">
        <v>14</v>
      </c>
      <c r="I507" s="261">
        <v>1</v>
      </c>
      <c r="M507" s="402" t="s">
        <v>485</v>
      </c>
      <c r="N507" s="258">
        <f>P499+Parametry!U9</f>
        <v>-1150</v>
      </c>
      <c r="O507" s="258">
        <f>O503</f>
        <v>1844</v>
      </c>
      <c r="P507" s="258">
        <f>N507+Parametry!Q10</f>
        <v>-1090</v>
      </c>
      <c r="Q507" s="258">
        <f>O507</f>
        <v>1844</v>
      </c>
      <c r="R507" s="258" t="s">
        <v>274</v>
      </c>
      <c r="S507" s="258">
        <v>2</v>
      </c>
      <c r="T507" s="295"/>
      <c r="Z507" s="261"/>
    </row>
    <row r="508" spans="3:26" x14ac:dyDescent="0.25">
      <c r="C508" s="399"/>
      <c r="D508" s="256">
        <v>2970.6937126633134</v>
      </c>
      <c r="E508" s="256">
        <v>3833.7777647529729</v>
      </c>
      <c r="F508" s="256">
        <v>2961.7156819590386</v>
      </c>
      <c r="G508" s="256">
        <v>3833.1493026036737</v>
      </c>
      <c r="H508" s="256" t="s">
        <v>14</v>
      </c>
      <c r="I508" s="261">
        <v>1</v>
      </c>
      <c r="M508" s="403"/>
      <c r="N508" s="256" cm="1">
        <f t="array" ref="N508:O508">N507:O507</f>
        <v>-1150</v>
      </c>
      <c r="O508" s="256">
        <v>1844</v>
      </c>
      <c r="P508" s="256">
        <f>N508</f>
        <v>-1150</v>
      </c>
      <c r="Q508" s="256">
        <f>O508-Parametry!R10</f>
        <v>1624</v>
      </c>
      <c r="R508" s="256" t="s">
        <v>274</v>
      </c>
      <c r="S508" s="256">
        <v>2</v>
      </c>
      <c r="T508" s="285"/>
      <c r="Z508" s="261"/>
    </row>
    <row r="509" spans="3:26" x14ac:dyDescent="0.25">
      <c r="C509" s="399"/>
      <c r="D509" s="256">
        <v>2961.7156819590386</v>
      </c>
      <c r="E509" s="256">
        <v>3833.1493026036737</v>
      </c>
      <c r="F509" s="256">
        <v>2959.8602222801555</v>
      </c>
      <c r="G509" s="256">
        <v>3831.0145264139906</v>
      </c>
      <c r="H509" s="256" t="s">
        <v>14</v>
      </c>
      <c r="I509" s="261">
        <v>1</v>
      </c>
      <c r="M509" s="403"/>
      <c r="N509" s="256" cm="1">
        <f t="array" ref="N509:O509">P507:Q507</f>
        <v>-1090</v>
      </c>
      <c r="O509" s="256">
        <v>1844</v>
      </c>
      <c r="P509" s="256">
        <f>N509</f>
        <v>-1090</v>
      </c>
      <c r="Q509" s="256">
        <f>Q508</f>
        <v>1624</v>
      </c>
      <c r="R509" s="256" t="s">
        <v>274</v>
      </c>
      <c r="S509" s="256">
        <v>2</v>
      </c>
      <c r="T509" s="285"/>
      <c r="Z509" s="261"/>
    </row>
    <row r="510" spans="3:26" ht="15.75" thickBot="1" x14ac:dyDescent="0.3">
      <c r="C510" s="399"/>
      <c r="D510" s="256">
        <v>2963.6569317090962</v>
      </c>
      <c r="E510" s="256">
        <v>3805.4171633171363</v>
      </c>
      <c r="F510" s="256">
        <v>2961.5221555194134</v>
      </c>
      <c r="G510" s="256">
        <v>3807.2726229960199</v>
      </c>
      <c r="H510" s="256" t="s">
        <v>14</v>
      </c>
      <c r="I510" s="261">
        <v>1</v>
      </c>
      <c r="M510" s="403"/>
      <c r="N510" s="256" cm="1">
        <f t="array" ref="N510:O510">P508:Q508</f>
        <v>-1150</v>
      </c>
      <c r="O510" s="256">
        <v>1624</v>
      </c>
      <c r="P510" s="256" cm="1">
        <f t="array" ref="P510:Q510">P509:Q509</f>
        <v>-1090</v>
      </c>
      <c r="Q510" s="256">
        <v>1624</v>
      </c>
      <c r="R510" s="256" t="s">
        <v>274</v>
      </c>
      <c r="S510" s="256">
        <v>2</v>
      </c>
      <c r="T510" s="285"/>
      <c r="Z510" s="261"/>
    </row>
    <row r="511" spans="3:26" x14ac:dyDescent="0.25">
      <c r="C511" s="399"/>
      <c r="D511" s="256">
        <v>2959.8602222801555</v>
      </c>
      <c r="E511" s="256">
        <v>3831.0145264139906</v>
      </c>
      <c r="F511" s="256">
        <v>2961.5221555194134</v>
      </c>
      <c r="G511" s="256">
        <v>3807.2726229960199</v>
      </c>
      <c r="H511" s="256" t="s">
        <v>14</v>
      </c>
      <c r="I511" s="261">
        <v>1</v>
      </c>
      <c r="M511" s="391" t="s">
        <v>488</v>
      </c>
      <c r="N511" s="258">
        <f>V492-Parametry!E65</f>
        <v>-1296</v>
      </c>
      <c r="O511" s="258">
        <f>W492</f>
        <v>1804</v>
      </c>
      <c r="P511" s="258">
        <f>V492+Parametry!E65</f>
        <v>-1264</v>
      </c>
      <c r="Q511" s="258">
        <f>O511</f>
        <v>1804</v>
      </c>
      <c r="R511" s="258" t="s">
        <v>372</v>
      </c>
      <c r="S511" s="258">
        <v>1</v>
      </c>
      <c r="T511" s="295"/>
      <c r="Z511" s="261"/>
    </row>
    <row r="512" spans="3:26" x14ac:dyDescent="0.25">
      <c r="C512" s="399"/>
      <c r="D512" s="256">
        <v>2973.1741430351112</v>
      </c>
      <c r="E512" s="256">
        <v>3826.9843881867382</v>
      </c>
      <c r="F512" s="256">
        <v>2960.2058764622702</v>
      </c>
      <c r="G512" s="256">
        <v>3826.0766095266395</v>
      </c>
      <c r="H512" s="256" t="s">
        <v>14</v>
      </c>
      <c r="I512" s="261">
        <v>1</v>
      </c>
      <c r="M512" s="399"/>
      <c r="N512" s="256">
        <f>V492</f>
        <v>-1280</v>
      </c>
      <c r="O512" s="256">
        <f>W492-Parametry!E65</f>
        <v>1788</v>
      </c>
      <c r="P512" s="256">
        <f>N512</f>
        <v>-1280</v>
      </c>
      <c r="Q512" s="256">
        <f>W492+Parametry!E65</f>
        <v>1820</v>
      </c>
      <c r="R512" s="256" t="s">
        <v>372</v>
      </c>
      <c r="S512" s="256">
        <v>1</v>
      </c>
      <c r="T512" s="285"/>
      <c r="Z512" s="261"/>
    </row>
    <row r="513" spans="3:29" x14ac:dyDescent="0.25">
      <c r="C513" s="399"/>
      <c r="D513" s="256">
        <v>2974.1447679101402</v>
      </c>
      <c r="E513" s="256">
        <v>3813.1183185434697</v>
      </c>
      <c r="F513" s="256">
        <v>2961.1765013372992</v>
      </c>
      <c r="G513" s="256">
        <v>3812.210539883371</v>
      </c>
      <c r="H513" s="256" t="s">
        <v>14</v>
      </c>
      <c r="I513" s="261">
        <v>1</v>
      </c>
      <c r="M513" s="399"/>
      <c r="N513" s="256">
        <f>V493-Parametry!E65</f>
        <v>-1296</v>
      </c>
      <c r="O513" s="256">
        <f>W493</f>
        <v>1664</v>
      </c>
      <c r="P513" s="256">
        <f>V493+Parametry!E65</f>
        <v>-1264</v>
      </c>
      <c r="Q513" s="256">
        <f>O513</f>
        <v>1664</v>
      </c>
      <c r="R513" s="256" t="s">
        <v>372</v>
      </c>
      <c r="S513" s="256">
        <v>1</v>
      </c>
      <c r="T513" s="285"/>
      <c r="Z513" s="261"/>
    </row>
    <row r="514" spans="3:29" x14ac:dyDescent="0.25">
      <c r="C514" s="399"/>
      <c r="D514" s="256">
        <v>2960.1325558781855</v>
      </c>
      <c r="E514" s="256">
        <v>3827.124046442138</v>
      </c>
      <c r="F514" s="256">
        <v>2955.3442728359055</v>
      </c>
      <c r="G514" s="256">
        <v>3826.7888666291783</v>
      </c>
      <c r="H514" s="256" t="s">
        <v>14</v>
      </c>
      <c r="I514" s="261">
        <v>1</v>
      </c>
      <c r="M514" s="399"/>
      <c r="N514" s="256">
        <f>V493</f>
        <v>-1280</v>
      </c>
      <c r="O514" s="256">
        <f>W493-Parametry!E65</f>
        <v>1648</v>
      </c>
      <c r="P514" s="256">
        <f>N514</f>
        <v>-1280</v>
      </c>
      <c r="Q514" s="256">
        <f>W493+Parametry!E65</f>
        <v>1680</v>
      </c>
      <c r="R514" s="256" t="s">
        <v>372</v>
      </c>
      <c r="S514" s="256">
        <v>1</v>
      </c>
      <c r="T514" s="285"/>
      <c r="Z514" s="261"/>
    </row>
    <row r="515" spans="3:29" x14ac:dyDescent="0.25">
      <c r="C515" s="399"/>
      <c r="D515" s="256">
        <v>2961.249821921384</v>
      </c>
      <c r="E515" s="256">
        <v>3811.163102967872</v>
      </c>
      <c r="F515" s="256">
        <v>2956.461538879104</v>
      </c>
      <c r="G515" s="256">
        <v>3810.8279231549122</v>
      </c>
      <c r="H515" s="256" t="s">
        <v>14</v>
      </c>
      <c r="I515" s="261">
        <v>1</v>
      </c>
      <c r="M515" s="399"/>
      <c r="N515" s="256">
        <f>V494-Parametry!E65</f>
        <v>-1136</v>
      </c>
      <c r="O515" s="256">
        <f>W494</f>
        <v>1804</v>
      </c>
      <c r="P515" s="256">
        <f>V494+Parametry!E65</f>
        <v>-1104</v>
      </c>
      <c r="Q515" s="256">
        <f>O515</f>
        <v>1804</v>
      </c>
      <c r="R515" s="256" t="s">
        <v>372</v>
      </c>
      <c r="S515" s="256">
        <v>1</v>
      </c>
      <c r="T515" s="285"/>
      <c r="Z515" s="261"/>
    </row>
    <row r="516" spans="3:29" x14ac:dyDescent="0.25">
      <c r="C516" s="399"/>
      <c r="D516" s="256">
        <v>2955.3442728359055</v>
      </c>
      <c r="E516" s="256">
        <v>3826.7888666291783</v>
      </c>
      <c r="F516" s="256">
        <v>2953.4888131570219</v>
      </c>
      <c r="G516" s="256">
        <v>3824.6540904394956</v>
      </c>
      <c r="H516" s="256" t="s">
        <v>14</v>
      </c>
      <c r="I516" s="261">
        <v>1</v>
      </c>
      <c r="M516" s="399"/>
      <c r="N516" s="256">
        <f>V494</f>
        <v>-1120</v>
      </c>
      <c r="O516" s="256">
        <f>W494-Parametry!E65</f>
        <v>1788</v>
      </c>
      <c r="P516" s="256">
        <f>N516</f>
        <v>-1120</v>
      </c>
      <c r="Q516" s="256">
        <f>W494+Parametry!E65</f>
        <v>1820</v>
      </c>
      <c r="R516" s="256" t="s">
        <v>372</v>
      </c>
      <c r="S516" s="256">
        <v>1</v>
      </c>
      <c r="T516" s="285"/>
      <c r="Z516" s="261"/>
    </row>
    <row r="517" spans="3:29" x14ac:dyDescent="0.25">
      <c r="C517" s="399"/>
      <c r="D517" s="256">
        <v>2956.461538879104</v>
      </c>
      <c r="E517" s="256">
        <v>3810.8279231549122</v>
      </c>
      <c r="F517" s="256">
        <v>2954.3267626894208</v>
      </c>
      <c r="G517" s="256">
        <v>3812.6833828337958</v>
      </c>
      <c r="H517" s="256" t="s">
        <v>14</v>
      </c>
      <c r="I517" s="261">
        <v>1</v>
      </c>
      <c r="M517" s="399"/>
      <c r="N517" s="256">
        <f>V495-Parametry!E65</f>
        <v>-1136</v>
      </c>
      <c r="O517" s="256">
        <f>W495</f>
        <v>1664</v>
      </c>
      <c r="P517" s="256">
        <f>V495+Parametry!E65</f>
        <v>-1104</v>
      </c>
      <c r="Q517" s="256">
        <f>O517</f>
        <v>1664</v>
      </c>
      <c r="R517" s="256" t="s">
        <v>372</v>
      </c>
      <c r="S517" s="256">
        <v>1</v>
      </c>
      <c r="T517" s="285"/>
      <c r="Z517" s="261"/>
    </row>
    <row r="518" spans="3:29" ht="15.75" thickBot="1" x14ac:dyDescent="0.3">
      <c r="C518" s="399"/>
      <c r="D518" s="256">
        <v>2953.4888131570219</v>
      </c>
      <c r="E518" s="256">
        <v>3824.6540904394956</v>
      </c>
      <c r="F518" s="256">
        <v>2954.3267626894208</v>
      </c>
      <c r="G518" s="256">
        <v>3812.6833828337958</v>
      </c>
      <c r="H518" s="256" t="s">
        <v>14</v>
      </c>
      <c r="I518" s="261">
        <v>1</v>
      </c>
      <c r="M518" s="400"/>
      <c r="N518" s="264">
        <f>V495</f>
        <v>-1120</v>
      </c>
      <c r="O518" s="264">
        <f>W495-Parametry!E65</f>
        <v>1648</v>
      </c>
      <c r="P518" s="264">
        <f>N518</f>
        <v>-1120</v>
      </c>
      <c r="Q518" s="264">
        <f>W495+Parametry!E65</f>
        <v>1680</v>
      </c>
      <c r="R518" s="264" t="s">
        <v>372</v>
      </c>
      <c r="S518" s="264">
        <v>1</v>
      </c>
      <c r="T518" s="309"/>
      <c r="U518" s="264"/>
      <c r="V518" s="264"/>
      <c r="W518" s="264"/>
      <c r="X518" s="264"/>
      <c r="Y518" s="264"/>
      <c r="Z518" s="265"/>
    </row>
    <row r="519" spans="3:29" ht="15.75" thickBot="1" x14ac:dyDescent="0.3">
      <c r="C519" s="399"/>
      <c r="D519" s="256">
        <v>3016.2552233695733</v>
      </c>
      <c r="E519" s="256">
        <v>3823.0330571178902</v>
      </c>
      <c r="F519" s="256">
        <v>2941.4383008339514</v>
      </c>
      <c r="G519" s="256">
        <v>3817.7958725403964</v>
      </c>
      <c r="H519" s="256" t="s">
        <v>428</v>
      </c>
      <c r="I519" s="261">
        <v>1.5</v>
      </c>
    </row>
    <row r="520" spans="3:29" x14ac:dyDescent="0.25">
      <c r="C520" s="399"/>
      <c r="D520" s="256">
        <v>2998.1365598493799</v>
      </c>
      <c r="E520" s="256">
        <v>3902.8627134633989</v>
      </c>
      <c r="F520" s="256">
        <v>2999.7984930886378</v>
      </c>
      <c r="G520" s="256">
        <v>3879.1208100454282</v>
      </c>
      <c r="H520" s="256" t="s">
        <v>14</v>
      </c>
      <c r="I520" s="261">
        <v>1</v>
      </c>
      <c r="M520" s="394" t="s">
        <v>499</v>
      </c>
      <c r="N520" s="395"/>
      <c r="O520" s="395"/>
      <c r="P520" s="395"/>
      <c r="Q520" s="395"/>
      <c r="R520" s="395"/>
      <c r="S520" s="395"/>
      <c r="T520" s="395"/>
      <c r="U520" s="395"/>
      <c r="V520" s="395"/>
      <c r="W520" s="395"/>
      <c r="X520" s="395"/>
      <c r="Y520" s="395"/>
      <c r="Z520" s="395"/>
      <c r="AA520" s="395"/>
      <c r="AB520" s="395"/>
      <c r="AC520" s="396"/>
    </row>
    <row r="521" spans="3:29" ht="15.75" thickBot="1" x14ac:dyDescent="0.3">
      <c r="C521" s="399"/>
      <c r="D521" s="256">
        <v>2999.7984930886378</v>
      </c>
      <c r="E521" s="256">
        <v>3879.1208100454282</v>
      </c>
      <c r="F521" s="256">
        <v>2997.9430334097542</v>
      </c>
      <c r="G521" s="256">
        <v>3876.9860338557451</v>
      </c>
      <c r="H521" s="256" t="s">
        <v>14</v>
      </c>
      <c r="I521" s="261">
        <v>1</v>
      </c>
      <c r="M521" s="260"/>
      <c r="N521" s="256" t="s">
        <v>83</v>
      </c>
      <c r="O521" s="256" t="s">
        <v>84</v>
      </c>
      <c r="P521" s="256" t="s">
        <v>83</v>
      </c>
      <c r="Q521" s="256" t="s">
        <v>84</v>
      </c>
      <c r="V521" s="256" t="s">
        <v>491</v>
      </c>
      <c r="AC521" s="261"/>
    </row>
    <row r="522" spans="3:29" ht="30.75" thickBot="1" x14ac:dyDescent="0.3">
      <c r="C522" s="399"/>
      <c r="D522" s="256">
        <v>2998.1365598493799</v>
      </c>
      <c r="E522" s="256">
        <v>3902.8627134633989</v>
      </c>
      <c r="F522" s="256">
        <v>2996.0017836596967</v>
      </c>
      <c r="G522" s="256">
        <v>3904.7181731422825</v>
      </c>
      <c r="H522" s="256" t="s">
        <v>14</v>
      </c>
      <c r="I522" s="261">
        <v>1</v>
      </c>
      <c r="M522" s="383" t="s">
        <v>14</v>
      </c>
      <c r="N522" s="258">
        <f>Parametry!P14/2</f>
        <v>150</v>
      </c>
      <c r="O522" s="258">
        <v>0</v>
      </c>
      <c r="P522" s="258">
        <f>N522</f>
        <v>150</v>
      </c>
      <c r="Q522" s="258">
        <f>Parametry!Q14</f>
        <v>300</v>
      </c>
      <c r="R522" s="258" t="s">
        <v>14</v>
      </c>
      <c r="S522" s="258">
        <v>1</v>
      </c>
      <c r="T522" s="295">
        <v>1</v>
      </c>
      <c r="V522" s="256" t="s">
        <v>99</v>
      </c>
      <c r="W522" s="256" t="s">
        <v>100</v>
      </c>
      <c r="X522" s="256" t="s">
        <v>492</v>
      </c>
      <c r="Y522" s="256" t="s">
        <v>102</v>
      </c>
      <c r="Z522" s="256" t="s">
        <v>103</v>
      </c>
      <c r="AA522" s="256" t="s">
        <v>97</v>
      </c>
      <c r="AB522" s="256" t="s">
        <v>19</v>
      </c>
      <c r="AC522" s="357" t="s">
        <v>493</v>
      </c>
    </row>
    <row r="523" spans="3:29" x14ac:dyDescent="0.25">
      <c r="C523" s="399"/>
      <c r="D523" s="256">
        <v>2997.9430334097542</v>
      </c>
      <c r="E523" s="256">
        <v>3876.9860338557451</v>
      </c>
      <c r="F523" s="256">
        <v>2989.9625616726212</v>
      </c>
      <c r="G523" s="256">
        <v>3876.4274008341458</v>
      </c>
      <c r="H523" s="256" t="s">
        <v>14</v>
      </c>
      <c r="I523" s="261">
        <v>1</v>
      </c>
      <c r="M523" s="361"/>
      <c r="N523" s="256">
        <f>N522-Parametry!S14</f>
        <v>131</v>
      </c>
      <c r="O523" s="256">
        <f>Q522</f>
        <v>300</v>
      </c>
      <c r="P523" s="256" cm="1">
        <f t="array" ref="P523:Q523">P522:Q522</f>
        <v>150</v>
      </c>
      <c r="Q523" s="256">
        <v>300</v>
      </c>
      <c r="R523" s="355" t="str">
        <f>$R$522</f>
        <v>Słup</v>
      </c>
      <c r="S523" s="256">
        <v>1</v>
      </c>
      <c r="T523" s="285">
        <v>1</v>
      </c>
      <c r="V523" s="257">
        <f>N525</f>
        <v>104</v>
      </c>
      <c r="W523" s="258">
        <f>Q524</f>
        <v>182.5</v>
      </c>
      <c r="X523" s="258">
        <f>Parametry!$T$14</f>
        <v>27</v>
      </c>
      <c r="Y523" s="258">
        <f>RADIANS(270)</f>
        <v>4.7123889803846897</v>
      </c>
      <c r="Z523" s="258">
        <f>RADIANS(0)</f>
        <v>0</v>
      </c>
      <c r="AA523" s="258" t="s">
        <v>14</v>
      </c>
      <c r="AB523" s="258">
        <v>1</v>
      </c>
      <c r="AC523" s="259">
        <v>1</v>
      </c>
    </row>
    <row r="524" spans="3:29" x14ac:dyDescent="0.25">
      <c r="C524" s="399"/>
      <c r="D524" s="256">
        <v>2996.0017836596967</v>
      </c>
      <c r="E524" s="256">
        <v>3904.7181731422825</v>
      </c>
      <c r="F524" s="256">
        <v>2988.0213119225637</v>
      </c>
      <c r="G524" s="256">
        <v>3904.1595401206832</v>
      </c>
      <c r="H524" s="256" t="s">
        <v>14</v>
      </c>
      <c r="I524" s="261">
        <v>1</v>
      </c>
      <c r="M524" s="361"/>
      <c r="N524" s="256">
        <f>N523</f>
        <v>131</v>
      </c>
      <c r="O524" s="256">
        <f>O523</f>
        <v>300</v>
      </c>
      <c r="P524" s="256">
        <f>N524</f>
        <v>131</v>
      </c>
      <c r="Q524" s="256">
        <f>O524-Parametry!Q14/2+Parametry!T14+Parametry!R14/2</f>
        <v>182.5</v>
      </c>
      <c r="R524" s="355" t="str">
        <f t="shared" ref="R524:R533" si="78">$R$522</f>
        <v>Słup</v>
      </c>
      <c r="S524" s="256">
        <v>1</v>
      </c>
      <c r="T524" s="285">
        <v>1</v>
      </c>
      <c r="V524" s="260">
        <f>-V523</f>
        <v>-104</v>
      </c>
      <c r="W524" s="256">
        <f>W523</f>
        <v>182.5</v>
      </c>
      <c r="X524" s="256">
        <f>Parametry!$T$14</f>
        <v>27</v>
      </c>
      <c r="Y524" s="256">
        <f>RADIANS(180)</f>
        <v>3.1415926535897931</v>
      </c>
      <c r="Z524" s="256">
        <f>RADIANS(270)</f>
        <v>4.7123889803846897</v>
      </c>
      <c r="AA524" s="256" t="s">
        <v>14</v>
      </c>
      <c r="AB524" s="256">
        <v>1</v>
      </c>
      <c r="AC524" s="261">
        <v>1</v>
      </c>
    </row>
    <row r="525" spans="3:29" x14ac:dyDescent="0.25">
      <c r="C525" s="399"/>
      <c r="D525" s="256">
        <v>2987.6721662840641</v>
      </c>
      <c r="E525" s="256">
        <v>3909.1473349563912</v>
      </c>
      <c r="F525" s="256">
        <v>2990.3117073111207</v>
      </c>
      <c r="G525" s="256">
        <v>3871.4396059984379</v>
      </c>
      <c r="H525" s="256" t="s">
        <v>14</v>
      </c>
      <c r="I525" s="261">
        <v>1</v>
      </c>
      <c r="M525" s="361"/>
      <c r="N525" s="256">
        <f>N524-Parametry!T14</f>
        <v>104</v>
      </c>
      <c r="O525" s="256">
        <f>Q524-Parametry!T14</f>
        <v>155.5</v>
      </c>
      <c r="P525" s="256">
        <f>-N525</f>
        <v>-104</v>
      </c>
      <c r="Q525" s="256">
        <f>O525</f>
        <v>155.5</v>
      </c>
      <c r="R525" s="355" t="str">
        <f t="shared" si="78"/>
        <v>Słup</v>
      </c>
      <c r="S525" s="256">
        <v>1</v>
      </c>
      <c r="T525" s="285">
        <v>1</v>
      </c>
      <c r="V525" s="260">
        <f>V524</f>
        <v>-104</v>
      </c>
      <c r="W525" s="256">
        <f>Q530</f>
        <v>117.5</v>
      </c>
      <c r="X525" s="256">
        <f>Parametry!$T$14</f>
        <v>27</v>
      </c>
      <c r="Y525" s="256">
        <f>RADIANS(90)</f>
        <v>1.5707963267948966</v>
      </c>
      <c r="Z525" s="256">
        <f>RADIANS(180)</f>
        <v>3.1415926535897931</v>
      </c>
      <c r="AA525" s="256" t="s">
        <v>14</v>
      </c>
      <c r="AB525" s="256">
        <v>1</v>
      </c>
      <c r="AC525" s="261">
        <v>1</v>
      </c>
    </row>
    <row r="526" spans="3:29" ht="15.75" thickBot="1" x14ac:dyDescent="0.3">
      <c r="C526" s="399"/>
      <c r="D526" s="256">
        <v>2987.6721662840641</v>
      </c>
      <c r="E526" s="256">
        <v>3909.1473349563912</v>
      </c>
      <c r="F526" s="256">
        <v>2985.6770483497808</v>
      </c>
      <c r="G526" s="256">
        <v>3909.0076767009914</v>
      </c>
      <c r="H526" s="256" t="s">
        <v>14</v>
      </c>
      <c r="I526" s="261">
        <v>1</v>
      </c>
      <c r="M526" s="361"/>
      <c r="N526" s="256">
        <f>-P524</f>
        <v>-131</v>
      </c>
      <c r="O526" s="256">
        <f>Q524</f>
        <v>182.5</v>
      </c>
      <c r="P526" s="256">
        <f>N526</f>
        <v>-131</v>
      </c>
      <c r="Q526" s="256">
        <f>O524</f>
        <v>300</v>
      </c>
      <c r="R526" s="355" t="str">
        <f t="shared" si="78"/>
        <v>Słup</v>
      </c>
      <c r="S526" s="256">
        <v>1</v>
      </c>
      <c r="T526" s="285">
        <v>1</v>
      </c>
      <c r="V526" s="263">
        <f>V523</f>
        <v>104</v>
      </c>
      <c r="W526" s="264">
        <f>W525</f>
        <v>117.5</v>
      </c>
      <c r="X526" s="264">
        <f>Parametry!$T$14</f>
        <v>27</v>
      </c>
      <c r="Y526" s="264">
        <f>RADIANS(0)</f>
        <v>0</v>
      </c>
      <c r="Z526" s="264">
        <f>RADIANS(90)</f>
        <v>1.5707963267948966</v>
      </c>
      <c r="AA526" s="264" t="s">
        <v>14</v>
      </c>
      <c r="AB526" s="264">
        <v>1</v>
      </c>
      <c r="AC526" s="265">
        <v>1</v>
      </c>
    </row>
    <row r="527" spans="3:29" x14ac:dyDescent="0.25">
      <c r="C527" s="399"/>
      <c r="D527" s="256">
        <v>2990.3117073111207</v>
      </c>
      <c r="E527" s="256">
        <v>3871.4396059984379</v>
      </c>
      <c r="F527" s="256">
        <v>2988.3165893768378</v>
      </c>
      <c r="G527" s="256">
        <v>3871.299947743038</v>
      </c>
      <c r="H527" s="256" t="s">
        <v>14</v>
      </c>
      <c r="I527" s="261">
        <v>1</v>
      </c>
      <c r="M527" s="361"/>
      <c r="N527" s="256" cm="1">
        <f t="array" ref="N527:O527">P526:Q526</f>
        <v>-131</v>
      </c>
      <c r="O527" s="256">
        <v>300</v>
      </c>
      <c r="P527" s="256">
        <f>-P523</f>
        <v>-150</v>
      </c>
      <c r="Q527" s="256">
        <f>O527</f>
        <v>300</v>
      </c>
      <c r="R527" s="355" t="str">
        <f t="shared" si="78"/>
        <v>Słup</v>
      </c>
      <c r="S527" s="256">
        <v>1</v>
      </c>
      <c r="T527" s="285">
        <v>1</v>
      </c>
      <c r="V527" s="257">
        <f>N546</f>
        <v>210</v>
      </c>
      <c r="W527" s="258">
        <f>(O547+O546)/2</f>
        <v>190</v>
      </c>
      <c r="X527" s="258">
        <f>Parametry!$E$71</f>
        <v>8</v>
      </c>
      <c r="Y527" s="258">
        <f>RADIANS(90)</f>
        <v>1.5707963267948966</v>
      </c>
      <c r="Z527" s="258">
        <f>RADIANS(270)</f>
        <v>4.7123889803846897</v>
      </c>
      <c r="AA527" s="258" t="s">
        <v>5</v>
      </c>
      <c r="AB527" s="258">
        <v>1</v>
      </c>
      <c r="AC527" s="259"/>
    </row>
    <row r="528" spans="3:29" x14ac:dyDescent="0.25">
      <c r="C528" s="399"/>
      <c r="D528" s="256">
        <v>2985.6770483497808</v>
      </c>
      <c r="E528" s="256">
        <v>3909.0076767009914</v>
      </c>
      <c r="F528" s="256">
        <v>2988.3165893768378</v>
      </c>
      <c r="G528" s="256">
        <v>3871.299947743038</v>
      </c>
      <c r="H528" s="256" t="s">
        <v>14</v>
      </c>
      <c r="I528" s="261">
        <v>1</v>
      </c>
      <c r="M528" s="361"/>
      <c r="N528" s="256" cm="1">
        <f t="array" ref="N528:O528">P527:Q527</f>
        <v>-150</v>
      </c>
      <c r="O528" s="256">
        <v>300</v>
      </c>
      <c r="P528" s="256">
        <f>N528</f>
        <v>-150</v>
      </c>
      <c r="Q528" s="256">
        <f>O522</f>
        <v>0</v>
      </c>
      <c r="R528" s="355" t="str">
        <f t="shared" si="78"/>
        <v>Słup</v>
      </c>
      <c r="S528" s="256">
        <v>1</v>
      </c>
      <c r="T528" s="285">
        <v>1</v>
      </c>
      <c r="V528" s="260">
        <f>P546</f>
        <v>235</v>
      </c>
      <c r="W528" s="256">
        <f>W527</f>
        <v>190</v>
      </c>
      <c r="X528" s="256">
        <f>Parametry!$E$71</f>
        <v>8</v>
      </c>
      <c r="Y528" s="256">
        <f>RADIANS(270)</f>
        <v>4.7123889803846897</v>
      </c>
      <c r="Z528" s="256">
        <f>RADIANS(90)</f>
        <v>1.5707963267948966</v>
      </c>
      <c r="AA528" s="256" t="s">
        <v>5</v>
      </c>
      <c r="AB528" s="256">
        <v>1</v>
      </c>
      <c r="AC528" s="261"/>
    </row>
    <row r="529" spans="3:29" x14ac:dyDescent="0.25">
      <c r="C529" s="399"/>
      <c r="D529" s="256">
        <v>2998.4822140314941</v>
      </c>
      <c r="E529" s="256">
        <v>3897.9247965760478</v>
      </c>
      <c r="F529" s="256">
        <v>2988.5066243600777</v>
      </c>
      <c r="G529" s="256">
        <v>3897.2265052990488</v>
      </c>
      <c r="H529" s="256" t="s">
        <v>14</v>
      </c>
      <c r="I529" s="261">
        <v>1</v>
      </c>
      <c r="M529" s="361"/>
      <c r="N529" s="256" cm="1">
        <f t="array" ref="N529:O529">P528:Q528</f>
        <v>-150</v>
      </c>
      <c r="O529" s="256">
        <v>0</v>
      </c>
      <c r="P529" s="256">
        <f>N529+Parametry!S14</f>
        <v>-131</v>
      </c>
      <c r="Q529" s="256">
        <f>O529</f>
        <v>0</v>
      </c>
      <c r="R529" s="355" t="str">
        <f t="shared" si="78"/>
        <v>Słup</v>
      </c>
      <c r="S529" s="256">
        <v>1</v>
      </c>
      <c r="T529" s="285">
        <v>1</v>
      </c>
      <c r="V529" s="260">
        <f>N548</f>
        <v>210</v>
      </c>
      <c r="W529" s="256">
        <f>(O549+O548)/2</f>
        <v>110</v>
      </c>
      <c r="X529" s="256">
        <f>Parametry!$E$71</f>
        <v>8</v>
      </c>
      <c r="Y529" s="256" cm="1">
        <f t="array" ref="Y529:Z529">Y527:Z527</f>
        <v>1.5707963267948966</v>
      </c>
      <c r="Z529" s="256">
        <v>4.7123889803846897</v>
      </c>
      <c r="AA529" s="256" t="s">
        <v>5</v>
      </c>
      <c r="AB529" s="256">
        <v>1</v>
      </c>
      <c r="AC529" s="261"/>
    </row>
    <row r="530" spans="3:29" ht="15.75" thickBot="1" x14ac:dyDescent="0.3">
      <c r="C530" s="399"/>
      <c r="D530" s="256">
        <v>2999.4528389065231</v>
      </c>
      <c r="E530" s="256">
        <v>3884.0587269327793</v>
      </c>
      <c r="F530" s="256">
        <v>2989.4772492351067</v>
      </c>
      <c r="G530" s="256">
        <v>3883.3604356557803</v>
      </c>
      <c r="H530" s="256" t="s">
        <v>14</v>
      </c>
      <c r="I530" s="261">
        <v>1</v>
      </c>
      <c r="M530" s="361"/>
      <c r="N530" s="256" cm="1">
        <f t="array" ref="N530:O530">P529:Q529</f>
        <v>-131</v>
      </c>
      <c r="O530" s="256">
        <v>0</v>
      </c>
      <c r="P530" s="256">
        <f>N530</f>
        <v>-131</v>
      </c>
      <c r="Q530" s="256">
        <f>Parametry!Q14/2-Parametry!R14/2-Parametry!T14</f>
        <v>117.5</v>
      </c>
      <c r="R530" s="355" t="str">
        <f t="shared" si="78"/>
        <v>Słup</v>
      </c>
      <c r="S530" s="256">
        <v>1</v>
      </c>
      <c r="T530" s="285">
        <v>1</v>
      </c>
      <c r="V530" s="263">
        <f>V528</f>
        <v>235</v>
      </c>
      <c r="W530" s="264">
        <f>W529</f>
        <v>110</v>
      </c>
      <c r="X530" s="264">
        <f>Parametry!$E$71</f>
        <v>8</v>
      </c>
      <c r="Y530" s="264" cm="1">
        <f t="array" ref="Y530:Z530">Y528:Z528</f>
        <v>4.7123889803846897</v>
      </c>
      <c r="Z530" s="264">
        <v>1.5707963267948966</v>
      </c>
      <c r="AA530" s="264" t="s">
        <v>5</v>
      </c>
      <c r="AB530" s="264">
        <v>1</v>
      </c>
      <c r="AC530" s="265"/>
    </row>
    <row r="531" spans="3:29" x14ac:dyDescent="0.25">
      <c r="C531" s="399"/>
      <c r="D531" s="256">
        <v>2986.43818584171</v>
      </c>
      <c r="E531" s="256">
        <v>3898.134283959148</v>
      </c>
      <c r="F531" s="256">
        <v>2970.2777305740155</v>
      </c>
      <c r="G531" s="256">
        <v>3897.0030520904093</v>
      </c>
      <c r="H531" s="256" t="s">
        <v>427</v>
      </c>
      <c r="I531" s="261">
        <v>1.5</v>
      </c>
      <c r="M531" s="361"/>
      <c r="N531" s="256">
        <f>P530+Parametry!T14</f>
        <v>-104</v>
      </c>
      <c r="O531" s="256">
        <f>Q530+Parametry!T14</f>
        <v>144.5</v>
      </c>
      <c r="P531" s="256">
        <f>-N531</f>
        <v>104</v>
      </c>
      <c r="Q531" s="256">
        <f>O531</f>
        <v>144.5</v>
      </c>
      <c r="R531" s="355" t="str">
        <f t="shared" si="78"/>
        <v>Słup</v>
      </c>
      <c r="S531" s="256">
        <v>1</v>
      </c>
      <c r="T531" s="285">
        <v>1</v>
      </c>
      <c r="AC531" s="261"/>
    </row>
    <row r="532" spans="3:29" x14ac:dyDescent="0.25">
      <c r="C532" s="399"/>
      <c r="D532" s="256">
        <v>2987.5554518849085</v>
      </c>
      <c r="E532" s="256">
        <v>3882.1733404848819</v>
      </c>
      <c r="F532" s="256">
        <v>2971.394996617214</v>
      </c>
      <c r="G532" s="256">
        <v>3881.0421086161432</v>
      </c>
      <c r="H532" s="256" t="s">
        <v>427</v>
      </c>
      <c r="I532" s="261">
        <v>1.5</v>
      </c>
      <c r="M532" s="361"/>
      <c r="N532" s="256">
        <f>-P530</f>
        <v>131</v>
      </c>
      <c r="O532" s="256">
        <f>Q530</f>
        <v>117.5</v>
      </c>
      <c r="P532" s="256">
        <f>N532</f>
        <v>131</v>
      </c>
      <c r="Q532" s="256">
        <f>O530</f>
        <v>0</v>
      </c>
      <c r="R532" s="355" t="str">
        <f t="shared" si="78"/>
        <v>Słup</v>
      </c>
      <c r="S532" s="256">
        <v>1</v>
      </c>
      <c r="T532" s="285">
        <v>1</v>
      </c>
      <c r="AC532" s="261"/>
    </row>
    <row r="533" spans="3:29" ht="15.75" thickBot="1" x14ac:dyDescent="0.3">
      <c r="C533" s="399"/>
      <c r="D533" s="256">
        <v>2969.5165930820867</v>
      </c>
      <c r="E533" s="256">
        <v>3907.8764448322527</v>
      </c>
      <c r="F533" s="256">
        <v>2972.1561341091433</v>
      </c>
      <c r="G533" s="256">
        <v>3870.1687158742993</v>
      </c>
      <c r="H533" s="256" t="s">
        <v>14</v>
      </c>
      <c r="I533" s="261">
        <v>1</v>
      </c>
      <c r="M533" s="405"/>
      <c r="N533" s="264" cm="1">
        <f t="array" ref="N533:O533">P532:Q532</f>
        <v>131</v>
      </c>
      <c r="O533" s="264">
        <v>0</v>
      </c>
      <c r="P533" s="264" cm="1">
        <f t="array" ref="P533:Q533">N522:O522</f>
        <v>150</v>
      </c>
      <c r="Q533" s="264">
        <v>0</v>
      </c>
      <c r="R533" s="355" t="str">
        <f t="shared" si="78"/>
        <v>Słup</v>
      </c>
      <c r="S533" s="264">
        <v>1</v>
      </c>
      <c r="T533" s="309">
        <v>1</v>
      </c>
      <c r="AC533" s="261"/>
    </row>
    <row r="534" spans="3:29" ht="15.75" thickBot="1" x14ac:dyDescent="0.3">
      <c r="C534" s="399"/>
      <c r="D534" s="256">
        <v>2969.5165930820867</v>
      </c>
      <c r="E534" s="256">
        <v>3907.8764448322527</v>
      </c>
      <c r="F534" s="256">
        <v>2967.5214751478034</v>
      </c>
      <c r="G534" s="256">
        <v>3907.7367865768529</v>
      </c>
      <c r="H534" s="256" t="s">
        <v>14</v>
      </c>
      <c r="I534" s="261">
        <v>1</v>
      </c>
      <c r="M534" s="277" t="s">
        <v>366</v>
      </c>
      <c r="N534" s="320">
        <f>P528-Parametry!E68*Parametry!P14</f>
        <v>-240</v>
      </c>
      <c r="O534" s="320">
        <f>Parametry!Q14/2</f>
        <v>150</v>
      </c>
      <c r="P534" s="320">
        <f>P522+Parametry!U16+Parametry!E67+Parametry!E68*Parametry!P14</f>
        <v>510</v>
      </c>
      <c r="Q534" s="320">
        <f>O534</f>
        <v>150</v>
      </c>
      <c r="R534" s="320" t="s">
        <v>9</v>
      </c>
      <c r="S534" s="320">
        <v>5</v>
      </c>
      <c r="T534" s="315"/>
      <c r="AC534" s="261"/>
    </row>
    <row r="535" spans="3:29" x14ac:dyDescent="0.25">
      <c r="C535" s="399"/>
      <c r="D535" s="256">
        <v>2972.1561341091433</v>
      </c>
      <c r="E535" s="256">
        <v>3870.1687158742993</v>
      </c>
      <c r="F535" s="256">
        <v>2970.1610161748599</v>
      </c>
      <c r="G535" s="256">
        <v>3870.0290576188995</v>
      </c>
      <c r="H535" s="256" t="s">
        <v>14</v>
      </c>
      <c r="I535" s="261">
        <v>1</v>
      </c>
      <c r="M535" s="383" t="s">
        <v>495</v>
      </c>
      <c r="N535" s="258">
        <f>P522</f>
        <v>150</v>
      </c>
      <c r="O535" s="258">
        <f>O534+Parametry!G31/2</f>
        <v>230</v>
      </c>
      <c r="P535" s="258">
        <f>N535+Parametry!U16</f>
        <v>170</v>
      </c>
      <c r="Q535" s="258">
        <f>O535</f>
        <v>230</v>
      </c>
      <c r="R535" s="258" t="s">
        <v>14</v>
      </c>
      <c r="S535" s="258">
        <v>1</v>
      </c>
      <c r="T535" s="295"/>
      <c r="AC535" s="261"/>
    </row>
    <row r="536" spans="3:29" ht="15.75" thickBot="1" x14ac:dyDescent="0.3">
      <c r="C536" s="399"/>
      <c r="D536" s="256">
        <v>2967.5214751478034</v>
      </c>
      <c r="E536" s="256">
        <v>3907.7367865768529</v>
      </c>
      <c r="F536" s="256">
        <v>2970.1610161748599</v>
      </c>
      <c r="G536" s="256">
        <v>3870.0290576188995</v>
      </c>
      <c r="H536" s="256" t="s">
        <v>14</v>
      </c>
      <c r="I536" s="261">
        <v>1</v>
      </c>
      <c r="M536" s="361"/>
      <c r="N536" s="256">
        <f>N535</f>
        <v>150</v>
      </c>
      <c r="O536" s="256">
        <f>O534-Parametry!G31/2</f>
        <v>70</v>
      </c>
      <c r="P536" s="256">
        <f>P535</f>
        <v>170</v>
      </c>
      <c r="Q536" s="256">
        <f>O536</f>
        <v>70</v>
      </c>
      <c r="R536" s="256" t="s">
        <v>14</v>
      </c>
      <c r="S536" s="256">
        <v>1</v>
      </c>
      <c r="T536" s="285"/>
      <c r="AC536" s="261"/>
    </row>
    <row r="537" spans="3:29" ht="15.75" thickBot="1" x14ac:dyDescent="0.3">
      <c r="C537" s="399"/>
      <c r="D537" s="256">
        <v>2968.0102790417027</v>
      </c>
      <c r="E537" s="256">
        <v>3900.7538738068615</v>
      </c>
      <c r="F537" s="256">
        <v>2965.8755028520195</v>
      </c>
      <c r="G537" s="256">
        <v>3902.6093334857451</v>
      </c>
      <c r="H537" s="256" t="s">
        <v>14</v>
      </c>
      <c r="I537" s="261">
        <v>1</v>
      </c>
      <c r="M537" s="405"/>
      <c r="N537" s="264">
        <f>N536+Parametry!H43</f>
        <v>160</v>
      </c>
      <c r="O537" s="264">
        <f>O536</f>
        <v>70</v>
      </c>
      <c r="P537" s="264">
        <f>N537</f>
        <v>160</v>
      </c>
      <c r="Q537" s="264">
        <f>Q535</f>
        <v>230</v>
      </c>
      <c r="R537" s="264" t="s">
        <v>427</v>
      </c>
      <c r="S537" s="264">
        <v>2</v>
      </c>
      <c r="T537" s="309"/>
      <c r="V537" s="391" t="s">
        <v>203</v>
      </c>
      <c r="W537" s="392"/>
      <c r="X537" s="392"/>
      <c r="Y537" s="393"/>
      <c r="AC537" s="261"/>
    </row>
    <row r="538" spans="3:29" x14ac:dyDescent="0.25">
      <c r="C538" s="399"/>
      <c r="D538" s="256">
        <v>2969.6722122809606</v>
      </c>
      <c r="E538" s="256">
        <v>3877.0119703888909</v>
      </c>
      <c r="F538" s="256">
        <v>2967.816752602077</v>
      </c>
      <c r="G538" s="256">
        <v>3874.8771941992077</v>
      </c>
      <c r="H538" s="256" t="s">
        <v>14</v>
      </c>
      <c r="I538" s="261">
        <v>1</v>
      </c>
      <c r="M538" s="383" t="s">
        <v>61</v>
      </c>
      <c r="N538" s="257" cm="1">
        <f t="array" ref="N538:O538">P536:Q536</f>
        <v>170</v>
      </c>
      <c r="O538" s="258">
        <v>70</v>
      </c>
      <c r="P538" s="258" cm="1">
        <f t="array" ref="P538:Q538">P535:Q535</f>
        <v>170</v>
      </c>
      <c r="Q538" s="258">
        <v>230</v>
      </c>
      <c r="R538" s="258" t="s">
        <v>5</v>
      </c>
      <c r="S538" s="259">
        <v>1</v>
      </c>
      <c r="T538" s="295"/>
      <c r="V538" s="308" t="s">
        <v>205</v>
      </c>
      <c r="W538" s="308" t="s">
        <v>208</v>
      </c>
      <c r="X538" s="308" t="s">
        <v>206</v>
      </c>
      <c r="Y538" s="308" t="s">
        <v>207</v>
      </c>
      <c r="AC538" s="357"/>
    </row>
    <row r="539" spans="3:29" ht="15.75" thickBot="1" x14ac:dyDescent="0.3">
      <c r="C539" s="399"/>
      <c r="D539" s="256">
        <v>2967.816752602077</v>
      </c>
      <c r="E539" s="256">
        <v>3874.8771941992077</v>
      </c>
      <c r="F539" s="256">
        <v>2958.8387218978023</v>
      </c>
      <c r="G539" s="256">
        <v>3874.2487320499085</v>
      </c>
      <c r="H539" s="256" t="s">
        <v>14</v>
      </c>
      <c r="I539" s="261">
        <v>1</v>
      </c>
      <c r="M539" s="361"/>
      <c r="N539" s="260">
        <f>N538+Parametry!E67</f>
        <v>420</v>
      </c>
      <c r="O539" s="256">
        <f>O538</f>
        <v>70</v>
      </c>
      <c r="P539" s="256" cm="1">
        <f t="array" ref="P539:Q539">_xlfn.ANCHORARRAY(N538)</f>
        <v>170</v>
      </c>
      <c r="Q539" s="256">
        <v>70</v>
      </c>
      <c r="R539" s="256" t="s">
        <v>5</v>
      </c>
      <c r="S539" s="261">
        <v>1</v>
      </c>
      <c r="T539" s="285"/>
      <c r="V539" s="284" t="s">
        <v>204</v>
      </c>
      <c r="W539" s="284">
        <v>3</v>
      </c>
      <c r="X539" s="309">
        <f>RADIANS(0)</f>
        <v>0</v>
      </c>
      <c r="Y539" s="284" t="s">
        <v>6</v>
      </c>
      <c r="AC539" s="261"/>
    </row>
    <row r="540" spans="3:29" ht="15.75" thickBot="1" x14ac:dyDescent="0.3">
      <c r="C540" s="399"/>
      <c r="D540" s="256">
        <v>2965.8755028520195</v>
      </c>
      <c r="E540" s="256">
        <v>3902.6093334857451</v>
      </c>
      <c r="F540" s="256">
        <v>2956.8974721477448</v>
      </c>
      <c r="G540" s="256">
        <v>3901.9808713364459</v>
      </c>
      <c r="H540" s="256" t="s">
        <v>14</v>
      </c>
      <c r="I540" s="261">
        <v>1</v>
      </c>
      <c r="M540" s="361"/>
      <c r="N540" s="260" cm="1">
        <f t="array" ref="N540:O540">_xlfn.ANCHORARRAY(P538)</f>
        <v>170</v>
      </c>
      <c r="O540" s="256">
        <v>230</v>
      </c>
      <c r="P540" s="256">
        <f>N539</f>
        <v>420</v>
      </c>
      <c r="Q540" s="256">
        <f>O540</f>
        <v>230</v>
      </c>
      <c r="R540" s="256" t="s">
        <v>5</v>
      </c>
      <c r="S540" s="261">
        <v>1</v>
      </c>
      <c r="T540" s="285"/>
      <c r="V540" s="284" t="s">
        <v>204</v>
      </c>
      <c r="W540" s="284">
        <v>3</v>
      </c>
      <c r="X540" s="309">
        <f>RADIANS(0)</f>
        <v>0</v>
      </c>
      <c r="Y540" s="284" t="s">
        <v>14</v>
      </c>
      <c r="AC540" s="261"/>
    </row>
    <row r="541" spans="3:29" ht="15.75" thickBot="1" x14ac:dyDescent="0.3">
      <c r="C541" s="399"/>
      <c r="D541" s="256">
        <v>2956.8974721477448</v>
      </c>
      <c r="E541" s="256">
        <v>3901.9808713364459</v>
      </c>
      <c r="F541" s="256">
        <v>2955.0420124688617</v>
      </c>
      <c r="G541" s="256">
        <v>3899.8460951467628</v>
      </c>
      <c r="H541" s="256" t="s">
        <v>14</v>
      </c>
      <c r="I541" s="261">
        <v>1</v>
      </c>
      <c r="M541" s="361"/>
      <c r="N541" s="263">
        <f>N539</f>
        <v>420</v>
      </c>
      <c r="O541" s="264">
        <f>O539-Parametry!E69*Parametry!G31</f>
        <v>30</v>
      </c>
      <c r="P541" s="264">
        <f>N541</f>
        <v>420</v>
      </c>
      <c r="Q541" s="264">
        <f>Q540+Parametry!E69*Parametry!G31</f>
        <v>270</v>
      </c>
      <c r="R541" s="264" t="s">
        <v>274</v>
      </c>
      <c r="S541" s="265">
        <v>10</v>
      </c>
      <c r="T541" s="285"/>
      <c r="AC541" s="261"/>
    </row>
    <row r="542" spans="3:29" x14ac:dyDescent="0.25">
      <c r="C542" s="399"/>
      <c r="D542" s="256">
        <v>2958.8387218978023</v>
      </c>
      <c r="E542" s="256">
        <v>3874.2487320499085</v>
      </c>
      <c r="F542" s="256">
        <v>2956.7039457081196</v>
      </c>
      <c r="G542" s="256">
        <v>3876.1041917287921</v>
      </c>
      <c r="H542" s="256" t="s">
        <v>14</v>
      </c>
      <c r="I542" s="261">
        <v>1</v>
      </c>
      <c r="M542" s="361"/>
      <c r="N542" s="257">
        <f>N538</f>
        <v>170</v>
      </c>
      <c r="O542" s="258">
        <f>O534+Parametry!H31/2</f>
        <v>153</v>
      </c>
      <c r="P542" s="258">
        <f>N542</f>
        <v>170</v>
      </c>
      <c r="Q542" s="258">
        <f>O542-Parametry!H31</f>
        <v>147</v>
      </c>
      <c r="R542" s="258" t="s">
        <v>5</v>
      </c>
      <c r="S542" s="258">
        <v>1</v>
      </c>
      <c r="T542" s="295">
        <v>2</v>
      </c>
      <c r="AC542" s="261"/>
    </row>
    <row r="543" spans="3:29" x14ac:dyDescent="0.25">
      <c r="C543" s="399"/>
      <c r="D543" s="256">
        <v>2955.0420124688617</v>
      </c>
      <c r="E543" s="256">
        <v>3899.8460951467628</v>
      </c>
      <c r="F543" s="256">
        <v>2956.7039457081196</v>
      </c>
      <c r="G543" s="256">
        <v>3876.1041917287921</v>
      </c>
      <c r="H543" s="256" t="s">
        <v>14</v>
      </c>
      <c r="I543" s="261">
        <v>1</v>
      </c>
      <c r="M543" s="361"/>
      <c r="N543" s="260" cm="1">
        <f t="array" ref="N543:O543">N542:O542</f>
        <v>170</v>
      </c>
      <c r="O543" s="256">
        <v>153</v>
      </c>
      <c r="P543" s="256">
        <f>P541</f>
        <v>420</v>
      </c>
      <c r="Q543" s="256">
        <f>O543</f>
        <v>153</v>
      </c>
      <c r="R543" s="355" t="str">
        <f>$R$542</f>
        <v>Blachy</v>
      </c>
      <c r="S543" s="256">
        <v>1</v>
      </c>
      <c r="T543" s="285">
        <v>2</v>
      </c>
      <c r="AC543" s="261"/>
    </row>
    <row r="544" spans="3:29" x14ac:dyDescent="0.25">
      <c r="C544" s="399"/>
      <c r="D544" s="256">
        <v>2968.3559332238169</v>
      </c>
      <c r="E544" s="256">
        <v>3895.8159569195104</v>
      </c>
      <c r="F544" s="256">
        <v>2955.3876666509759</v>
      </c>
      <c r="G544" s="256">
        <v>3894.9081782594117</v>
      </c>
      <c r="H544" s="256" t="s">
        <v>14</v>
      </c>
      <c r="I544" s="261">
        <v>1</v>
      </c>
      <c r="M544" s="361"/>
      <c r="N544" s="260" cm="1">
        <f t="array" ref="N544:O544">P542:Q542</f>
        <v>170</v>
      </c>
      <c r="O544" s="256">
        <v>147</v>
      </c>
      <c r="P544" s="256">
        <f>P543</f>
        <v>420</v>
      </c>
      <c r="Q544" s="256">
        <f>O544</f>
        <v>147</v>
      </c>
      <c r="R544" s="355" t="str">
        <f t="shared" ref="R544:R545" si="79">$R$542</f>
        <v>Blachy</v>
      </c>
      <c r="S544" s="256">
        <v>1</v>
      </c>
      <c r="T544" s="285">
        <v>2</v>
      </c>
      <c r="AC544" s="261"/>
    </row>
    <row r="545" spans="3:29" ht="15.75" thickBot="1" x14ac:dyDescent="0.3">
      <c r="C545" s="399"/>
      <c r="D545" s="256">
        <v>2969.3265580988459</v>
      </c>
      <c r="E545" s="256">
        <v>3881.949887276242</v>
      </c>
      <c r="F545" s="256">
        <v>2956.3582915260049</v>
      </c>
      <c r="G545" s="256">
        <v>3881.0421086161432</v>
      </c>
      <c r="H545" s="256" t="s">
        <v>14</v>
      </c>
      <c r="I545" s="261">
        <v>1</v>
      </c>
      <c r="M545" s="405"/>
      <c r="N545" s="263" cm="1">
        <f t="array" ref="N545:O545">P543:Q543</f>
        <v>420</v>
      </c>
      <c r="O545" s="264">
        <v>153</v>
      </c>
      <c r="P545" s="264" cm="1">
        <f t="array" ref="P545:Q545">P544:Q544</f>
        <v>420</v>
      </c>
      <c r="Q545" s="264">
        <v>147</v>
      </c>
      <c r="R545" s="356" t="str">
        <f t="shared" si="79"/>
        <v>Blachy</v>
      </c>
      <c r="S545" s="264">
        <v>1</v>
      </c>
      <c r="T545" s="309">
        <v>2</v>
      </c>
      <c r="AC545" s="261"/>
    </row>
    <row r="546" spans="3:29" x14ac:dyDescent="0.25">
      <c r="C546" s="399"/>
      <c r="D546" s="256">
        <v>2955.3143460668912</v>
      </c>
      <c r="E546" s="256">
        <v>3895.9556151749102</v>
      </c>
      <c r="F546" s="256">
        <v>2950.5260630246112</v>
      </c>
      <c r="G546" s="256">
        <v>3895.6204353619505</v>
      </c>
      <c r="H546" s="256" t="s">
        <v>14</v>
      </c>
      <c r="I546" s="261">
        <v>1</v>
      </c>
      <c r="M546" s="383" t="s">
        <v>497</v>
      </c>
      <c r="N546" s="258">
        <f>N538+Parametry!Q40</f>
        <v>210</v>
      </c>
      <c r="O546" s="258">
        <f>O534+Parametry!G31/4+Parametry!E71</f>
        <v>198</v>
      </c>
      <c r="P546" s="258" cm="1">
        <f t="array" ref="P546:P549">Parametry!E72+'Obliczenia i dane'!N546:N549</f>
        <v>235</v>
      </c>
      <c r="Q546" s="258" cm="1">
        <f t="array" ref="Q546:Q549">O546:O549</f>
        <v>198</v>
      </c>
      <c r="R546" s="258" t="s">
        <v>5</v>
      </c>
      <c r="S546" s="258">
        <v>1</v>
      </c>
      <c r="T546" s="295"/>
      <c r="AC546" s="261"/>
    </row>
    <row r="547" spans="3:29" x14ac:dyDescent="0.25">
      <c r="C547" s="399"/>
      <c r="D547" s="256">
        <v>2956.4316121100896</v>
      </c>
      <c r="E547" s="256">
        <v>3879.9946717006446</v>
      </c>
      <c r="F547" s="256">
        <v>2951.6433290678096</v>
      </c>
      <c r="G547" s="256">
        <v>3879.6594918876849</v>
      </c>
      <c r="H547" s="256" t="s">
        <v>14</v>
      </c>
      <c r="I547" s="261">
        <v>1</v>
      </c>
      <c r="M547" s="361"/>
      <c r="N547" s="256">
        <f>N546</f>
        <v>210</v>
      </c>
      <c r="O547" s="256">
        <f>O534+Parametry!G31/4-Parametry!E71</f>
        <v>182</v>
      </c>
      <c r="P547" s="256">
        <v>235</v>
      </c>
      <c r="Q547" s="256">
        <v>182</v>
      </c>
      <c r="R547" s="256" t="s">
        <v>5</v>
      </c>
      <c r="S547" s="256">
        <v>1</v>
      </c>
      <c r="T547" s="285"/>
      <c r="AC547" s="261"/>
    </row>
    <row r="548" spans="3:29" x14ac:dyDescent="0.25">
      <c r="C548" s="399"/>
      <c r="D548" s="256">
        <v>2950.5260630246112</v>
      </c>
      <c r="E548" s="256">
        <v>3895.6204353619505</v>
      </c>
      <c r="F548" s="256">
        <v>2948.6706033457276</v>
      </c>
      <c r="G548" s="256">
        <v>3893.4856591722678</v>
      </c>
      <c r="H548" s="256" t="s">
        <v>14</v>
      </c>
      <c r="I548" s="261">
        <v>1</v>
      </c>
      <c r="M548" s="361"/>
      <c r="N548" s="256">
        <f>N547</f>
        <v>210</v>
      </c>
      <c r="O548" s="256">
        <f>O534-Parametry!G31/4+Parametry!E71</f>
        <v>118</v>
      </c>
      <c r="P548" s="256">
        <v>235</v>
      </c>
      <c r="Q548" s="256">
        <v>118</v>
      </c>
      <c r="R548" s="256" t="s">
        <v>5</v>
      </c>
      <c r="S548" s="256">
        <v>1</v>
      </c>
      <c r="T548" s="285"/>
      <c r="AC548" s="261"/>
    </row>
    <row r="549" spans="3:29" x14ac:dyDescent="0.25">
      <c r="C549" s="399"/>
      <c r="D549" s="256">
        <v>2951.6433290678096</v>
      </c>
      <c r="E549" s="256">
        <v>3879.6594918876849</v>
      </c>
      <c r="F549" s="256">
        <v>2949.5085528781265</v>
      </c>
      <c r="G549" s="256">
        <v>3881.514951566568</v>
      </c>
      <c r="H549" s="256" t="s">
        <v>14</v>
      </c>
      <c r="I549" s="261">
        <v>1</v>
      </c>
      <c r="M549" s="361"/>
      <c r="N549" s="256">
        <f>N548</f>
        <v>210</v>
      </c>
      <c r="O549" s="256">
        <f>O534-Parametry!G31/4-Parametry!E71</f>
        <v>102</v>
      </c>
      <c r="P549" s="256">
        <v>235</v>
      </c>
      <c r="Q549" s="256">
        <v>102</v>
      </c>
      <c r="R549" s="256" t="s">
        <v>5</v>
      </c>
      <c r="S549" s="256">
        <v>1</v>
      </c>
      <c r="T549" s="285"/>
      <c r="AC549" s="261"/>
    </row>
    <row r="550" spans="3:29" x14ac:dyDescent="0.25">
      <c r="C550" s="399"/>
      <c r="D550" s="256">
        <v>2948.6706033457276</v>
      </c>
      <c r="E550" s="256">
        <v>3893.4856591722678</v>
      </c>
      <c r="F550" s="256">
        <v>2949.5085528781265</v>
      </c>
      <c r="G550" s="256">
        <v>3881.514951566568</v>
      </c>
      <c r="H550" s="256" t="s">
        <v>14</v>
      </c>
      <c r="I550" s="261">
        <v>1</v>
      </c>
      <c r="M550" s="361"/>
      <c r="N550" s="256">
        <f>N546-Parametry!E73</f>
        <v>196</v>
      </c>
      <c r="O550" s="256">
        <f>W527</f>
        <v>190</v>
      </c>
      <c r="P550" s="256">
        <f>P547+Parametry!E73</f>
        <v>249</v>
      </c>
      <c r="Q550" s="256">
        <f>O550</f>
        <v>190</v>
      </c>
      <c r="R550" s="256" t="s">
        <v>372</v>
      </c>
      <c r="S550" s="256">
        <v>1</v>
      </c>
      <c r="T550" s="285"/>
      <c r="AC550" s="261"/>
    </row>
    <row r="551" spans="3:29" ht="15.75" thickBot="1" x14ac:dyDescent="0.3">
      <c r="C551" s="400"/>
      <c r="D551" s="264">
        <v>3011.437013558279</v>
      </c>
      <c r="E551" s="264">
        <v>3891.8646258506624</v>
      </c>
      <c r="F551" s="264">
        <v>2936.6200910226571</v>
      </c>
      <c r="G551" s="264">
        <v>3886.6274412731691</v>
      </c>
      <c r="H551" s="264" t="s">
        <v>428</v>
      </c>
      <c r="I551" s="265">
        <v>1.5</v>
      </c>
      <c r="M551" s="361"/>
      <c r="N551" s="256">
        <f>N547</f>
        <v>210</v>
      </c>
      <c r="O551" s="256">
        <f>O550+Parametry!E73</f>
        <v>204</v>
      </c>
      <c r="P551" s="256">
        <f>N551</f>
        <v>210</v>
      </c>
      <c r="Q551" s="256">
        <f>O550-Parametry!E73</f>
        <v>176</v>
      </c>
      <c r="R551" s="256" t="s">
        <v>372</v>
      </c>
      <c r="S551" s="256">
        <v>1</v>
      </c>
      <c r="T551" s="285"/>
      <c r="AC551" s="261"/>
    </row>
    <row r="552" spans="3:29" x14ac:dyDescent="0.25">
      <c r="M552" s="361"/>
      <c r="N552" s="256">
        <f>V528</f>
        <v>235</v>
      </c>
      <c r="O552" s="256">
        <f>O551</f>
        <v>204</v>
      </c>
      <c r="P552" s="256">
        <f>N552</f>
        <v>235</v>
      </c>
      <c r="Q552" s="256">
        <f>Q551</f>
        <v>176</v>
      </c>
      <c r="R552" s="256" t="s">
        <v>372</v>
      </c>
      <c r="S552" s="256">
        <v>1</v>
      </c>
      <c r="T552" s="285"/>
      <c r="AC552" s="261"/>
    </row>
    <row r="553" spans="3:29" x14ac:dyDescent="0.25">
      <c r="M553" s="361"/>
      <c r="N553" s="256" cm="1">
        <f t="array" ref="N553:N555">N550:N552</f>
        <v>196</v>
      </c>
      <c r="O553" s="256">
        <f>W529</f>
        <v>110</v>
      </c>
      <c r="P553" s="256" cm="1">
        <f t="array" ref="P553:P555">P550:P552</f>
        <v>249</v>
      </c>
      <c r="Q553" s="256">
        <f>O553</f>
        <v>110</v>
      </c>
      <c r="R553" s="256" t="s">
        <v>372</v>
      </c>
      <c r="S553" s="256">
        <v>1</v>
      </c>
      <c r="T553" s="285"/>
      <c r="AC553" s="261"/>
    </row>
    <row r="554" spans="3:29" x14ac:dyDescent="0.25">
      <c r="M554" s="361"/>
      <c r="N554" s="256">
        <v>210</v>
      </c>
      <c r="O554" s="256">
        <f>O553+Parametry!E73</f>
        <v>124</v>
      </c>
      <c r="P554" s="256">
        <v>210</v>
      </c>
      <c r="Q554" s="256">
        <f>O553-Parametry!E73</f>
        <v>96</v>
      </c>
      <c r="R554" s="256" t="s">
        <v>372</v>
      </c>
      <c r="S554" s="256">
        <v>1</v>
      </c>
      <c r="T554" s="285"/>
      <c r="AC554" s="261"/>
    </row>
    <row r="555" spans="3:29" ht="15.75" thickBot="1" x14ac:dyDescent="0.3">
      <c r="M555" s="361"/>
      <c r="N555" s="256">
        <v>235</v>
      </c>
      <c r="O555" s="256">
        <f>O554</f>
        <v>124</v>
      </c>
      <c r="P555" s="256">
        <v>235</v>
      </c>
      <c r="Q555" s="256">
        <f>Q554</f>
        <v>96</v>
      </c>
      <c r="R555" s="256" t="s">
        <v>372</v>
      </c>
      <c r="S555" s="256">
        <v>1</v>
      </c>
      <c r="T555" s="285"/>
      <c r="AA555" s="264"/>
      <c r="AB555" s="264"/>
      <c r="AC555" s="265"/>
    </row>
    <row r="556" spans="3:29" ht="15.75" thickBot="1" x14ac:dyDescent="0.3">
      <c r="G556" s="394" t="s">
        <v>520</v>
      </c>
      <c r="H556" s="395"/>
      <c r="I556" s="395"/>
      <c r="J556" s="395"/>
      <c r="K556" s="395"/>
      <c r="L556" s="395"/>
      <c r="M556" s="395"/>
      <c r="N556" s="395"/>
      <c r="O556" s="395"/>
      <c r="P556" s="395"/>
      <c r="Q556" s="395"/>
      <c r="R556" s="395"/>
      <c r="S556" s="395"/>
      <c r="T556" s="395"/>
      <c r="U556" s="395"/>
      <c r="V556" s="395"/>
      <c r="W556" s="395"/>
      <c r="X556" s="395"/>
      <c r="Y556" s="395"/>
      <c r="Z556" s="396"/>
    </row>
    <row r="557" spans="3:29" ht="15.75" thickBot="1" x14ac:dyDescent="0.3">
      <c r="G557" s="260"/>
      <c r="H557" s="391" t="s">
        <v>507</v>
      </c>
      <c r="I557" s="392"/>
      <c r="J557" s="392"/>
      <c r="K557" s="393"/>
      <c r="L557" s="391" t="s">
        <v>505</v>
      </c>
      <c r="M557" s="393"/>
      <c r="N557" s="391" t="s">
        <v>506</v>
      </c>
      <c r="O557" s="392"/>
      <c r="P557" s="392"/>
      <c r="Q557" s="392"/>
      <c r="R557" s="392"/>
      <c r="S557" s="393"/>
      <c r="Z557" s="261"/>
    </row>
    <row r="558" spans="3:29" ht="15.75" thickBot="1" x14ac:dyDescent="0.3">
      <c r="G558" s="260"/>
      <c r="H558" s="319" t="s">
        <v>83</v>
      </c>
      <c r="I558" s="328" t="s">
        <v>84</v>
      </c>
      <c r="J558" s="328" t="s">
        <v>83</v>
      </c>
      <c r="K558" s="329" t="s">
        <v>84</v>
      </c>
      <c r="L558" s="319" t="s">
        <v>83</v>
      </c>
      <c r="M558" s="329" t="s">
        <v>84</v>
      </c>
      <c r="N558" s="319" t="s">
        <v>83</v>
      </c>
      <c r="O558" s="328" t="s">
        <v>84</v>
      </c>
      <c r="P558" s="328" t="s">
        <v>83</v>
      </c>
      <c r="Q558" s="328" t="s">
        <v>84</v>
      </c>
      <c r="R558" s="264"/>
      <c r="S558" s="265"/>
      <c r="V558" s="391" t="s">
        <v>510</v>
      </c>
      <c r="W558" s="392"/>
      <c r="X558" s="392"/>
      <c r="Y558" s="393"/>
      <c r="Z558" s="261"/>
    </row>
    <row r="559" spans="3:29" ht="15.75" thickBot="1" x14ac:dyDescent="0.3">
      <c r="G559" s="402" t="s">
        <v>502</v>
      </c>
      <c r="H559" s="258">
        <f>-Parametry!O37</f>
        <v>-100</v>
      </c>
      <c r="I559" s="258">
        <v>0</v>
      </c>
      <c r="J559" s="258">
        <f>H559</f>
        <v>-100</v>
      </c>
      <c r="K559" s="258">
        <f>I559+Parametry!F33+2*Parametry!O39</f>
        <v>65</v>
      </c>
      <c r="L559" s="277">
        <f>-2*Parametry!E76</f>
        <v>-800</v>
      </c>
      <c r="M559" s="296">
        <f>-Parametry!E75</f>
        <v>-400</v>
      </c>
      <c r="N559" s="258" cm="1">
        <f t="array" ref="N559:N562">L559+H559:H562</f>
        <v>-900</v>
      </c>
      <c r="O559" s="258" cm="1">
        <f t="array" ref="O559:O562">M559+I559:I562</f>
        <v>-400</v>
      </c>
      <c r="P559" s="258" cm="1">
        <f t="array" ref="P559:P562">L559+J559:J562</f>
        <v>-900</v>
      </c>
      <c r="Q559" s="258" cm="1">
        <f t="array" ref="Q559:Q562">M559+K559:K562</f>
        <v>-335</v>
      </c>
      <c r="R559" s="258" t="s">
        <v>5</v>
      </c>
      <c r="S559" s="259">
        <v>1</v>
      </c>
      <c r="V559" s="305" t="s">
        <v>302</v>
      </c>
      <c r="W559" s="283">
        <f>-ATAN(N116)</f>
        <v>-6.9886001634642161E-2</v>
      </c>
      <c r="Y559" s="261"/>
      <c r="Z559" s="261"/>
    </row>
    <row r="560" spans="3:29" x14ac:dyDescent="0.25">
      <c r="G560" s="403"/>
      <c r="H560" s="256" cm="1">
        <f t="array" ref="H560:I560">J559:K559</f>
        <v>-100</v>
      </c>
      <c r="I560" s="256">
        <v>65</v>
      </c>
      <c r="J560" s="256">
        <f>0</f>
        <v>0</v>
      </c>
      <c r="K560" s="256">
        <f>K559</f>
        <v>65</v>
      </c>
      <c r="L560" s="260"/>
      <c r="M560" s="261"/>
      <c r="N560" s="256">
        <v>-900</v>
      </c>
      <c r="O560" s="256">
        <v>-335</v>
      </c>
      <c r="P560" s="256">
        <v>-800</v>
      </c>
      <c r="Q560" s="256">
        <v>-335</v>
      </c>
      <c r="R560" s="256" t="s">
        <v>5</v>
      </c>
      <c r="S560" s="261">
        <v>1</v>
      </c>
      <c r="V560" s="305" t="s">
        <v>83</v>
      </c>
      <c r="W560" s="283" t="s">
        <v>84</v>
      </c>
      <c r="X560" s="283" t="s">
        <v>83</v>
      </c>
      <c r="Y560" s="306" t="s">
        <v>84</v>
      </c>
      <c r="Z560" s="261"/>
    </row>
    <row r="561" spans="7:26" x14ac:dyDescent="0.25">
      <c r="G561" s="403"/>
      <c r="H561" s="256" cm="1">
        <f t="array" ref="H561:I561">J560:K560</f>
        <v>0</v>
      </c>
      <c r="I561" s="256">
        <v>65</v>
      </c>
      <c r="J561" s="256">
        <f>J560</f>
        <v>0</v>
      </c>
      <c r="K561" s="256">
        <f>I559</f>
        <v>0</v>
      </c>
      <c r="L561" s="260"/>
      <c r="M561" s="261"/>
      <c r="N561" s="256">
        <v>-800</v>
      </c>
      <c r="O561" s="256">
        <v>-335</v>
      </c>
      <c r="P561" s="256">
        <v>-800</v>
      </c>
      <c r="Q561" s="256">
        <v>-400</v>
      </c>
      <c r="R561" s="256" t="s">
        <v>5</v>
      </c>
      <c r="S561" s="261">
        <v>1</v>
      </c>
      <c r="V561" s="260">
        <f>D158*COS($W$559)-E158*SIN($W$559)</f>
        <v>3053.103875860264</v>
      </c>
      <c r="W561" s="256">
        <f>D158*SIN($W$559)+E158*COS($W$559)</f>
        <v>3365.5784366386119</v>
      </c>
      <c r="X561" s="256">
        <f>F158*COS($W$559)-G158*SIN($W$559)</f>
        <v>3053.1038758602649</v>
      </c>
      <c r="Y561" s="261">
        <f>F158*SIN($W$559)+G158*COS($W$559)</f>
        <v>3232.0750091896452</v>
      </c>
      <c r="Z561" s="261"/>
    </row>
    <row r="562" spans="7:26" ht="15.75" thickBot="1" x14ac:dyDescent="0.3">
      <c r="G562" s="404"/>
      <c r="H562" s="264" cm="1">
        <f t="array" ref="H562:I562">J561:K561</f>
        <v>0</v>
      </c>
      <c r="I562" s="264">
        <v>0</v>
      </c>
      <c r="J562" s="264" cm="1">
        <f t="array" ref="J562:K562">H559:I559</f>
        <v>-100</v>
      </c>
      <c r="K562" s="264">
        <v>0</v>
      </c>
      <c r="L562" s="263"/>
      <c r="M562" s="265"/>
      <c r="N562" s="264">
        <v>-800</v>
      </c>
      <c r="O562" s="264">
        <v>-400</v>
      </c>
      <c r="P562" s="264">
        <v>-900</v>
      </c>
      <c r="Q562" s="264">
        <v>-400</v>
      </c>
      <c r="R562" s="264" t="s">
        <v>5</v>
      </c>
      <c r="S562" s="265">
        <v>1</v>
      </c>
      <c r="V562" s="260">
        <f t="shared" ref="V562:V565" si="80">D159*COS($W$559)-E159*SIN($W$559)</f>
        <v>3053.1038758602649</v>
      </c>
      <c r="W562" s="256">
        <f t="shared" ref="W562:W565" si="81">D159*SIN($W$559)+E159*COS($W$559)</f>
        <v>3232.0750091896452</v>
      </c>
      <c r="X562" s="256">
        <f t="shared" ref="X562:X565" si="82">F159*COS($W$559)-G159*SIN($W$559)</f>
        <v>3111.5689808185743</v>
      </c>
      <c r="Y562" s="261">
        <f t="shared" ref="Y562:Y565" si="83">F159*SIN($W$559)+G159*COS($W$559)</f>
        <v>3185.0980839793483</v>
      </c>
      <c r="Z562" s="261"/>
    </row>
    <row r="563" spans="7:26" ht="15.75" thickBot="1" x14ac:dyDescent="0.3">
      <c r="G563" s="402" t="s">
        <v>508</v>
      </c>
      <c r="H563" s="258">
        <f>-Parametry!O37</f>
        <v>-100</v>
      </c>
      <c r="I563" s="258">
        <f>0</f>
        <v>0</v>
      </c>
      <c r="J563" s="258">
        <f>H563</f>
        <v>-100</v>
      </c>
      <c r="K563" s="258">
        <f>I563+Parametry!F34+2*Parametry!O39</f>
        <v>95</v>
      </c>
      <c r="L563" s="277">
        <f>L559+Parametry!E76</f>
        <v>-400</v>
      </c>
      <c r="M563" s="296">
        <f>M559</f>
        <v>-400</v>
      </c>
      <c r="N563" s="258" cm="1">
        <f t="array" ref="N563:N566">L563+H563:H566</f>
        <v>-500</v>
      </c>
      <c r="O563" s="258" cm="1">
        <f t="array" ref="O563:O566">M563+I563:I566</f>
        <v>-400</v>
      </c>
      <c r="P563" s="258" cm="1">
        <f t="array" ref="P563:P566">L563+J563:J566</f>
        <v>-500</v>
      </c>
      <c r="Q563" s="258" cm="1">
        <f t="array" ref="Q563:Q566">M563+K563:K566</f>
        <v>-305</v>
      </c>
      <c r="R563" s="258" t="s">
        <v>5</v>
      </c>
      <c r="S563" s="259">
        <v>1</v>
      </c>
      <c r="V563" s="260">
        <f t="shared" si="80"/>
        <v>3111.5689808185743</v>
      </c>
      <c r="W563" s="256">
        <f t="shared" si="81"/>
        <v>3185.0980839793483</v>
      </c>
      <c r="X563" s="256">
        <f t="shared" si="82"/>
        <v>3326.3518778912239</v>
      </c>
      <c r="Y563" s="261">
        <f t="shared" si="83"/>
        <v>3247.4928901452749</v>
      </c>
      <c r="Z563" s="261"/>
    </row>
    <row r="564" spans="7:26" x14ac:dyDescent="0.25">
      <c r="G564" s="403"/>
      <c r="H564" s="256" cm="1">
        <f t="array" ref="H564:I564">J563:K563</f>
        <v>-100</v>
      </c>
      <c r="I564" s="256">
        <v>95</v>
      </c>
      <c r="J564" s="256">
        <f>0</f>
        <v>0</v>
      </c>
      <c r="K564" s="256">
        <f>I564</f>
        <v>95</v>
      </c>
      <c r="L564" s="260"/>
      <c r="M564" s="261"/>
      <c r="N564" s="256">
        <v>-500</v>
      </c>
      <c r="O564" s="256">
        <v>-305</v>
      </c>
      <c r="P564" s="256">
        <v>-400</v>
      </c>
      <c r="Q564" s="256">
        <v>-305</v>
      </c>
      <c r="R564" s="256" t="s">
        <v>5</v>
      </c>
      <c r="S564" s="261">
        <v>1</v>
      </c>
      <c r="V564" s="260">
        <f t="shared" si="80"/>
        <v>3326.3518778912239</v>
      </c>
      <c r="W564" s="256">
        <f t="shared" si="81"/>
        <v>3247.4928901452749</v>
      </c>
      <c r="X564" s="256">
        <f t="shared" si="82"/>
        <v>3365.0156626300763</v>
      </c>
      <c r="Y564" s="261">
        <f t="shared" si="83"/>
        <v>3270.517045931485</v>
      </c>
      <c r="Z564" s="261"/>
    </row>
    <row r="565" spans="7:26" ht="15.75" thickBot="1" x14ac:dyDescent="0.3">
      <c r="G565" s="403"/>
      <c r="H565" s="256" cm="1">
        <f t="array" ref="H565:I565">J564:K564</f>
        <v>0</v>
      </c>
      <c r="I565" s="256">
        <v>95</v>
      </c>
      <c r="J565" s="256">
        <v>0</v>
      </c>
      <c r="K565" s="256">
        <v>0</v>
      </c>
      <c r="L565" s="260"/>
      <c r="M565" s="261"/>
      <c r="N565" s="256">
        <v>-400</v>
      </c>
      <c r="O565" s="256">
        <v>-305</v>
      </c>
      <c r="P565" s="256">
        <v>-400</v>
      </c>
      <c r="Q565" s="256">
        <v>-400</v>
      </c>
      <c r="R565" s="256" t="s">
        <v>5</v>
      </c>
      <c r="S565" s="261">
        <v>1</v>
      </c>
      <c r="V565" s="263">
        <f t="shared" si="80"/>
        <v>3365.0156626300763</v>
      </c>
      <c r="W565" s="264">
        <f t="shared" si="81"/>
        <v>3270.517045931485</v>
      </c>
      <c r="X565" s="264">
        <f t="shared" si="82"/>
        <v>3365.0156626300759</v>
      </c>
      <c r="Y565" s="265">
        <f t="shared" si="83"/>
        <v>3365.5784366386119</v>
      </c>
      <c r="Z565" s="261"/>
    </row>
    <row r="566" spans="7:26" ht="15.75" thickBot="1" x14ac:dyDescent="0.3">
      <c r="G566" s="404"/>
      <c r="H566" s="264" cm="1">
        <f t="array" ref="H566:I566">J565:K565</f>
        <v>0</v>
      </c>
      <c r="I566" s="264">
        <v>0</v>
      </c>
      <c r="J566" s="264" cm="1">
        <f t="array" ref="J566:K566">H563:I563</f>
        <v>-100</v>
      </c>
      <c r="K566" s="264">
        <v>0</v>
      </c>
      <c r="L566" s="263"/>
      <c r="M566" s="265"/>
      <c r="N566" s="264">
        <v>-400</v>
      </c>
      <c r="O566" s="264">
        <v>-400</v>
      </c>
      <c r="P566" s="264">
        <v>-500</v>
      </c>
      <c r="Q566" s="264">
        <v>-400</v>
      </c>
      <c r="R566" s="264" t="s">
        <v>5</v>
      </c>
      <c r="S566" s="265">
        <v>1</v>
      </c>
      <c r="Z566" s="261"/>
    </row>
    <row r="567" spans="7:26" ht="30" customHeight="1" x14ac:dyDescent="0.25">
      <c r="G567" s="402" t="s">
        <v>509</v>
      </c>
      <c r="H567" s="258" cm="1">
        <f t="array" ref="H567:K571">D153:G157</f>
        <v>1348.8654810989435</v>
      </c>
      <c r="I567" s="258">
        <v>1576</v>
      </c>
      <c r="J567" s="258">
        <v>1348.8654810989435</v>
      </c>
      <c r="K567" s="258">
        <v>1643.662947888095</v>
      </c>
      <c r="L567" s="257">
        <f>-H567</f>
        <v>-1348.8654810989435</v>
      </c>
      <c r="M567" s="259">
        <f>-I567-Parametry!E75</f>
        <v>-1976</v>
      </c>
      <c r="N567" s="258" cm="1">
        <f t="array" ref="N567:N572">L567+H567:H572</f>
        <v>0</v>
      </c>
      <c r="O567" s="258" cm="1">
        <f t="array" ref="O567:O572">M567+I567:I572</f>
        <v>-400</v>
      </c>
      <c r="P567" s="258" cm="1">
        <f t="array" ref="P567:P572">L567+J567:J572</f>
        <v>0</v>
      </c>
      <c r="Q567" s="258" cm="1">
        <f t="array" ref="Q567:Q572">M567+K567:K572</f>
        <v>-332.337052111905</v>
      </c>
      <c r="R567" s="258" t="s">
        <v>5</v>
      </c>
      <c r="S567" s="259">
        <v>1</v>
      </c>
      <c r="Z567" s="261"/>
    </row>
    <row r="568" spans="7:26" ht="15.75" thickBot="1" x14ac:dyDescent="0.3">
      <c r="G568" s="403"/>
      <c r="H568" s="256">
        <v>1348.8654810989435</v>
      </c>
      <c r="I568" s="256">
        <v>1643.662947888095</v>
      </c>
      <c r="J568" s="256">
        <v>1384.5335606086505</v>
      </c>
      <c r="K568" s="256">
        <v>1671.0999321263312</v>
      </c>
      <c r="L568" s="263">
        <f>H567+L567</f>
        <v>0</v>
      </c>
      <c r="M568" s="265">
        <f>I567+M567</f>
        <v>-400</v>
      </c>
      <c r="N568" s="256">
        <v>0</v>
      </c>
      <c r="O568" s="256">
        <v>-332.337052111905</v>
      </c>
      <c r="P568" s="256">
        <v>35.668079509707013</v>
      </c>
      <c r="Q568" s="256">
        <v>-304.90006787366883</v>
      </c>
      <c r="R568" s="256" t="s">
        <v>5</v>
      </c>
      <c r="S568" s="261">
        <v>1</v>
      </c>
      <c r="Z568" s="261"/>
    </row>
    <row r="569" spans="7:26" x14ac:dyDescent="0.25">
      <c r="G569" s="403"/>
      <c r="H569" s="256">
        <v>1384.5335606086505</v>
      </c>
      <c r="I569" s="256">
        <v>1671.0999321263312</v>
      </c>
      <c r="J569" s="256">
        <v>1632.5519840381867</v>
      </c>
      <c r="K569" s="256">
        <v>1727.5160799203452</v>
      </c>
      <c r="L569" s="260"/>
      <c r="M569" s="261"/>
      <c r="N569" s="256">
        <v>35.668079509707013</v>
      </c>
      <c r="O569" s="256">
        <v>-304.90006787366883</v>
      </c>
      <c r="P569" s="256">
        <v>283.68650293924316</v>
      </c>
      <c r="Q569" s="256">
        <v>-248.48392007965481</v>
      </c>
      <c r="R569" s="256" t="s">
        <v>5</v>
      </c>
      <c r="S569" s="261">
        <v>1</v>
      </c>
      <c r="Z569" s="261"/>
    </row>
    <row r="570" spans="7:26" x14ac:dyDescent="0.25">
      <c r="G570" s="403"/>
      <c r="H570" s="256">
        <v>1632.5519840381867</v>
      </c>
      <c r="I570" s="256">
        <v>1727.5160799203452</v>
      </c>
      <c r="J570" s="256">
        <v>1694.1547314636839</v>
      </c>
      <c r="K570" s="256">
        <v>1684.7363942081943</v>
      </c>
      <c r="L570" s="260"/>
      <c r="M570" s="261"/>
      <c r="N570" s="256">
        <v>283.68650293924316</v>
      </c>
      <c r="O570" s="256">
        <v>-248.48392007965481</v>
      </c>
      <c r="P570" s="256">
        <v>345.28925036474038</v>
      </c>
      <c r="Q570" s="256">
        <v>-291.26360579180573</v>
      </c>
      <c r="R570" s="256" t="s">
        <v>5</v>
      </c>
      <c r="S570" s="261">
        <v>1</v>
      </c>
      <c r="Z570" s="261"/>
    </row>
    <row r="571" spans="7:26" x14ac:dyDescent="0.25">
      <c r="G571" s="403"/>
      <c r="H571" s="256">
        <v>1694.1547314636839</v>
      </c>
      <c r="I571" s="256">
        <v>1684.7363942081943</v>
      </c>
      <c r="J571" s="256">
        <v>1694.1547314636839</v>
      </c>
      <c r="K571" s="256">
        <v>1576</v>
      </c>
      <c r="L571" s="260"/>
      <c r="M571" s="261"/>
      <c r="N571" s="256">
        <v>345.28925036474038</v>
      </c>
      <c r="O571" s="256">
        <v>-291.26360579180573</v>
      </c>
      <c r="P571" s="256">
        <v>345.28925036474038</v>
      </c>
      <c r="Q571" s="256">
        <v>-400</v>
      </c>
      <c r="R571" s="256" t="s">
        <v>5</v>
      </c>
      <c r="S571" s="261">
        <v>1</v>
      </c>
      <c r="Z571" s="261"/>
    </row>
    <row r="572" spans="7:26" ht="15.75" thickBot="1" x14ac:dyDescent="0.3">
      <c r="G572" s="404"/>
      <c r="H572" s="264" cm="1">
        <f t="array" ref="H572:I572">H567:I567</f>
        <v>1348.8654810989435</v>
      </c>
      <c r="I572" s="264">
        <v>1576</v>
      </c>
      <c r="J572" s="264" cm="1">
        <f t="array" ref="J572:K572">J571:K571</f>
        <v>1694.1547314636839</v>
      </c>
      <c r="K572" s="264">
        <v>1576</v>
      </c>
      <c r="L572" s="263"/>
      <c r="M572" s="265"/>
      <c r="N572" s="264">
        <v>0</v>
      </c>
      <c r="O572" s="264">
        <v>-400</v>
      </c>
      <c r="P572" s="264">
        <v>345.28925036474038</v>
      </c>
      <c r="Q572" s="264">
        <v>-400</v>
      </c>
      <c r="R572" s="264" t="s">
        <v>5</v>
      </c>
      <c r="S572" s="265">
        <v>1</v>
      </c>
      <c r="Z572" s="261"/>
    </row>
    <row r="573" spans="7:26" ht="45" customHeight="1" x14ac:dyDescent="0.25">
      <c r="G573" s="402" t="s">
        <v>511</v>
      </c>
      <c r="H573" s="258" cm="1">
        <f t="array" ref="H573:K577">V561:Y565</f>
        <v>3053.103875860264</v>
      </c>
      <c r="I573" s="258">
        <v>3365.5784366386119</v>
      </c>
      <c r="J573" s="258">
        <v>3053.1038758602649</v>
      </c>
      <c r="K573" s="258">
        <v>3232.0750091896452</v>
      </c>
      <c r="L573" s="257">
        <f>-H573+Parametry!E76</f>
        <v>-2653.103875860264</v>
      </c>
      <c r="M573" s="259">
        <f>-I573-Parametry!E76</f>
        <v>-3765.5784366386119</v>
      </c>
      <c r="N573" s="258" cm="1">
        <f t="array" ref="N573:N578">L573+H573:H578</f>
        <v>400</v>
      </c>
      <c r="O573" s="258" cm="1">
        <f t="array" ref="O573:O578">M573+I573:I578</f>
        <v>-400</v>
      </c>
      <c r="P573" s="258" cm="1">
        <f t="array" ref="P573:P578">L573+J573:J578</f>
        <v>400.00000000000091</v>
      </c>
      <c r="Q573" s="258" cm="1">
        <f t="array" ref="Q573:Q578">M573+K573:K578</f>
        <v>-533.5034274489667</v>
      </c>
      <c r="R573" s="258" t="s">
        <v>5</v>
      </c>
      <c r="S573" s="259">
        <v>1</v>
      </c>
      <c r="Z573" s="261"/>
    </row>
    <row r="574" spans="7:26" ht="15.75" thickBot="1" x14ac:dyDescent="0.3">
      <c r="G574" s="403"/>
      <c r="H574" s="256">
        <v>3053.1038758602649</v>
      </c>
      <c r="I574" s="256">
        <v>3232.0750091896452</v>
      </c>
      <c r="J574" s="256">
        <v>3111.5689808185743</v>
      </c>
      <c r="K574" s="256">
        <v>3185.0980839793483</v>
      </c>
      <c r="L574" s="263">
        <f>H573+L573</f>
        <v>400</v>
      </c>
      <c r="M574" s="265">
        <f>I573+M573</f>
        <v>-400</v>
      </c>
      <c r="N574" s="256">
        <v>400.00000000000091</v>
      </c>
      <c r="O574" s="256">
        <v>-533.5034274489667</v>
      </c>
      <c r="P574" s="256">
        <v>458.46510495831035</v>
      </c>
      <c r="Q574" s="256">
        <v>-580.48035265926364</v>
      </c>
      <c r="R574" s="256" t="s">
        <v>5</v>
      </c>
      <c r="S574" s="261">
        <v>1</v>
      </c>
      <c r="Z574" s="261"/>
    </row>
    <row r="575" spans="7:26" x14ac:dyDescent="0.25">
      <c r="G575" s="403"/>
      <c r="H575" s="256">
        <v>3111.5689808185743</v>
      </c>
      <c r="I575" s="256">
        <v>3185.0980839793483</v>
      </c>
      <c r="J575" s="256">
        <v>3326.3518778912239</v>
      </c>
      <c r="K575" s="256">
        <v>3247.4928901452749</v>
      </c>
      <c r="L575" s="260"/>
      <c r="M575" s="261"/>
      <c r="N575" s="256">
        <v>458.46510495831035</v>
      </c>
      <c r="O575" s="256">
        <v>-580.48035265926364</v>
      </c>
      <c r="P575" s="256">
        <v>673.24800203095992</v>
      </c>
      <c r="Q575" s="256">
        <v>-518.08554649333701</v>
      </c>
      <c r="R575" s="256" t="s">
        <v>5</v>
      </c>
      <c r="S575" s="261">
        <v>1</v>
      </c>
      <c r="Z575" s="261"/>
    </row>
    <row r="576" spans="7:26" x14ac:dyDescent="0.25">
      <c r="G576" s="403"/>
      <c r="H576" s="256">
        <v>3326.3518778912239</v>
      </c>
      <c r="I576" s="256">
        <v>3247.4928901452749</v>
      </c>
      <c r="J576" s="256">
        <v>3365.0156626300763</v>
      </c>
      <c r="K576" s="256">
        <v>3270.517045931485</v>
      </c>
      <c r="L576" s="260"/>
      <c r="M576" s="261"/>
      <c r="N576" s="256">
        <v>673.24800203095992</v>
      </c>
      <c r="O576" s="256">
        <v>-518.08554649333701</v>
      </c>
      <c r="P576" s="256">
        <v>711.91178676981235</v>
      </c>
      <c r="Q576" s="256">
        <v>-495.06139070712698</v>
      </c>
      <c r="R576" s="256" t="s">
        <v>5</v>
      </c>
      <c r="S576" s="261">
        <v>1</v>
      </c>
      <c r="Z576" s="261"/>
    </row>
    <row r="577" spans="7:26" x14ac:dyDescent="0.25">
      <c r="G577" s="403"/>
      <c r="H577" s="256">
        <v>3365.0156626300763</v>
      </c>
      <c r="I577" s="256">
        <v>3270.517045931485</v>
      </c>
      <c r="J577" s="256">
        <v>3365.0156626300759</v>
      </c>
      <c r="K577" s="256">
        <v>3365.5784366386119</v>
      </c>
      <c r="L577" s="260"/>
      <c r="M577" s="261"/>
      <c r="N577" s="256">
        <v>711.91178676981235</v>
      </c>
      <c r="O577" s="256">
        <v>-495.06139070712698</v>
      </c>
      <c r="P577" s="256">
        <v>711.9117867698119</v>
      </c>
      <c r="Q577" s="256">
        <v>-400</v>
      </c>
      <c r="R577" s="256" t="s">
        <v>5</v>
      </c>
      <c r="S577" s="261">
        <v>1</v>
      </c>
      <c r="Z577" s="261"/>
    </row>
    <row r="578" spans="7:26" ht="15.75" thickBot="1" x14ac:dyDescent="0.3">
      <c r="G578" s="404"/>
      <c r="H578" s="264" cm="1">
        <f t="array" ref="H578:I578">H573:I573</f>
        <v>3053.103875860264</v>
      </c>
      <c r="I578" s="264">
        <v>3365.5784366386119</v>
      </c>
      <c r="J578" s="264" cm="1">
        <f t="array" ref="J578:K578">J577:K577</f>
        <v>3365.0156626300759</v>
      </c>
      <c r="K578" s="264">
        <v>3365.5784366386119</v>
      </c>
      <c r="L578" s="263"/>
      <c r="M578" s="265"/>
      <c r="N578" s="264">
        <v>400</v>
      </c>
      <c r="O578" s="264">
        <v>-400</v>
      </c>
      <c r="P578" s="264">
        <v>711.9117867698119</v>
      </c>
      <c r="Q578" s="264">
        <v>-400</v>
      </c>
      <c r="R578" s="264" t="s">
        <v>5</v>
      </c>
      <c r="S578" s="265">
        <v>1</v>
      </c>
      <c r="Z578" s="261"/>
    </row>
    <row r="579" spans="7:26" ht="15.75" thickBot="1" x14ac:dyDescent="0.3">
      <c r="G579" s="402" t="s">
        <v>512</v>
      </c>
      <c r="H579" s="258">
        <v>0</v>
      </c>
      <c r="I579" s="258">
        <v>0</v>
      </c>
      <c r="J579" s="258">
        <f>Parametry!Q12</f>
        <v>320</v>
      </c>
      <c r="K579" s="258">
        <f>I579</f>
        <v>0</v>
      </c>
      <c r="L579" s="277">
        <f>L574+Parametry!E76</f>
        <v>800</v>
      </c>
      <c r="M579" s="296">
        <f>M574</f>
        <v>-400</v>
      </c>
      <c r="N579" s="258" cm="1">
        <f t="array" ref="N579:N584">L579+H579:H584</f>
        <v>800</v>
      </c>
      <c r="O579" s="258" cm="1">
        <f t="array" ref="O579:O584">M579+I579:I584</f>
        <v>-400</v>
      </c>
      <c r="P579" s="258" cm="1">
        <f t="array" ref="P579:P584">L579+J579:J584</f>
        <v>1120</v>
      </c>
      <c r="Q579" s="258" cm="1">
        <f t="array" ref="Q579:Q584">M579+K579:K584</f>
        <v>-400</v>
      </c>
      <c r="R579" s="258" t="s">
        <v>5</v>
      </c>
      <c r="S579" s="259">
        <v>1</v>
      </c>
      <c r="Z579" s="261"/>
    </row>
    <row r="580" spans="7:26" x14ac:dyDescent="0.25">
      <c r="G580" s="403"/>
      <c r="H580" s="256" cm="1">
        <f t="array" ref="H580:I580">J579:K579</f>
        <v>320</v>
      </c>
      <c r="I580" s="256">
        <v>0</v>
      </c>
      <c r="J580" s="256">
        <f>H580</f>
        <v>320</v>
      </c>
      <c r="K580" s="256">
        <f>I580-Parametry!S12</f>
        <v>-60</v>
      </c>
      <c r="L580" s="260"/>
      <c r="M580" s="261"/>
      <c r="N580" s="256">
        <v>1120</v>
      </c>
      <c r="O580" s="256">
        <v>-400</v>
      </c>
      <c r="P580" s="256">
        <v>1120</v>
      </c>
      <c r="Q580" s="256">
        <v>-460</v>
      </c>
      <c r="R580" s="256" t="s">
        <v>5</v>
      </c>
      <c r="S580" s="261">
        <v>1</v>
      </c>
      <c r="Z580" s="261"/>
    </row>
    <row r="581" spans="7:26" x14ac:dyDescent="0.25">
      <c r="G581" s="403"/>
      <c r="H581" s="256" cm="1">
        <f t="array" ref="H581:I581">H579:I579</f>
        <v>0</v>
      </c>
      <c r="I581" s="256">
        <v>0</v>
      </c>
      <c r="J581" s="256">
        <f>H581</f>
        <v>0</v>
      </c>
      <c r="K581" s="256">
        <f>K580</f>
        <v>-60</v>
      </c>
      <c r="L581" s="260"/>
      <c r="M581" s="261"/>
      <c r="N581" s="256">
        <v>800</v>
      </c>
      <c r="O581" s="256">
        <v>-400</v>
      </c>
      <c r="P581" s="256">
        <v>800</v>
      </c>
      <c r="Q581" s="256">
        <v>-460</v>
      </c>
      <c r="R581" s="256" t="s">
        <v>5</v>
      </c>
      <c r="S581" s="261">
        <v>1</v>
      </c>
      <c r="Z581" s="261"/>
    </row>
    <row r="582" spans="7:26" x14ac:dyDescent="0.25">
      <c r="G582" s="403"/>
      <c r="H582" s="256">
        <f>Parametry!Q12/2-Parametry!T12/2</f>
        <v>130</v>
      </c>
      <c r="I582" s="256">
        <f>-Parametry!R12</f>
        <v>-320</v>
      </c>
      <c r="J582" s="256" cm="1">
        <f t="array" ref="J582:K582">J581:K581</f>
        <v>0</v>
      </c>
      <c r="K582" s="256">
        <v>-60</v>
      </c>
      <c r="L582" s="260"/>
      <c r="M582" s="261"/>
      <c r="N582" s="256">
        <v>930</v>
      </c>
      <c r="O582" s="256">
        <v>-720</v>
      </c>
      <c r="P582" s="256">
        <v>800</v>
      </c>
      <c r="Q582" s="256">
        <v>-460</v>
      </c>
      <c r="R582" s="256" t="s">
        <v>5</v>
      </c>
      <c r="S582" s="261">
        <v>1</v>
      </c>
      <c r="Z582" s="261"/>
    </row>
    <row r="583" spans="7:26" x14ac:dyDescent="0.25">
      <c r="G583" s="403"/>
      <c r="H583" s="256">
        <f>Parametry!Q12/2+Parametry!T12/2</f>
        <v>190</v>
      </c>
      <c r="I583" s="256">
        <f>I582</f>
        <v>-320</v>
      </c>
      <c r="J583" s="256" cm="1">
        <f t="array" ref="J583:K583">H582:I582</f>
        <v>130</v>
      </c>
      <c r="K583" s="256">
        <v>-320</v>
      </c>
      <c r="L583" s="260"/>
      <c r="M583" s="261"/>
      <c r="N583" s="256">
        <v>990</v>
      </c>
      <c r="O583" s="256">
        <v>-720</v>
      </c>
      <c r="P583" s="256">
        <v>930</v>
      </c>
      <c r="Q583" s="256">
        <v>-720</v>
      </c>
      <c r="R583" s="256" t="s">
        <v>5</v>
      </c>
      <c r="S583" s="261">
        <v>1</v>
      </c>
      <c r="Z583" s="261"/>
    </row>
    <row r="584" spans="7:26" ht="15.75" thickBot="1" x14ac:dyDescent="0.3">
      <c r="G584" s="404"/>
      <c r="H584" s="264" cm="1">
        <f t="array" ref="H584:I584">H583:I583</f>
        <v>190</v>
      </c>
      <c r="I584" s="264">
        <v>-320</v>
      </c>
      <c r="J584" s="264" cm="1">
        <f t="array" ref="J584:K584">J580:K580</f>
        <v>320</v>
      </c>
      <c r="K584" s="264">
        <v>-60</v>
      </c>
      <c r="L584" s="263"/>
      <c r="M584" s="265"/>
      <c r="N584" s="264">
        <v>990</v>
      </c>
      <c r="O584" s="264">
        <v>-720</v>
      </c>
      <c r="P584" s="264">
        <v>1120</v>
      </c>
      <c r="Q584" s="264">
        <v>-460</v>
      </c>
      <c r="R584" s="264" t="s">
        <v>5</v>
      </c>
      <c r="S584" s="265">
        <v>1</v>
      </c>
      <c r="Z584" s="261"/>
    </row>
    <row r="585" spans="7:26" ht="15.75" thickBot="1" x14ac:dyDescent="0.3">
      <c r="G585" s="402" t="s">
        <v>513</v>
      </c>
      <c r="H585" s="258">
        <v>0</v>
      </c>
      <c r="I585" s="258">
        <v>0</v>
      </c>
      <c r="J585" s="258">
        <f>Parametry!Q11</f>
        <v>80</v>
      </c>
      <c r="K585" s="258">
        <f>I585</f>
        <v>0</v>
      </c>
      <c r="L585" s="277">
        <f>L579+Parametry!E76</f>
        <v>1200</v>
      </c>
      <c r="M585" s="296">
        <f>M579</f>
        <v>-400</v>
      </c>
      <c r="N585" s="258" cm="1">
        <f t="array" ref="N585:N594">L585+H585:H594</f>
        <v>1200</v>
      </c>
      <c r="O585" s="258" cm="1">
        <f t="array" ref="O585:O594">M585+I585:I594</f>
        <v>-400</v>
      </c>
      <c r="P585" s="258" cm="1">
        <f t="array" ref="P585:P594">L585+J585:J594</f>
        <v>1280</v>
      </c>
      <c r="Q585" s="258" cm="1">
        <f t="array" ref="Q585:Q594">M585+K585:K594</f>
        <v>-400</v>
      </c>
      <c r="R585" s="258" t="s">
        <v>5</v>
      </c>
      <c r="S585" s="259">
        <v>1</v>
      </c>
      <c r="Z585" s="261"/>
    </row>
    <row r="586" spans="7:26" x14ac:dyDescent="0.25">
      <c r="G586" s="403"/>
      <c r="H586" s="256" cm="1">
        <f t="array" ref="H586:I586">H585:I585</f>
        <v>0</v>
      </c>
      <c r="I586" s="256">
        <v>0</v>
      </c>
      <c r="J586" s="256">
        <f>H586</f>
        <v>0</v>
      </c>
      <c r="K586" s="256">
        <f>-Parametry!R11</f>
        <v>-320</v>
      </c>
      <c r="L586" s="260"/>
      <c r="M586" s="261"/>
      <c r="N586" s="256">
        <v>1200</v>
      </c>
      <c r="O586" s="256">
        <v>-400</v>
      </c>
      <c r="P586" s="256">
        <v>1200</v>
      </c>
      <c r="Q586" s="256">
        <v>-720</v>
      </c>
      <c r="R586" s="256" t="s">
        <v>5</v>
      </c>
      <c r="S586" s="261">
        <v>1</v>
      </c>
      <c r="Z586" s="261"/>
    </row>
    <row r="587" spans="7:26" ht="15.75" thickBot="1" x14ac:dyDescent="0.3">
      <c r="G587" s="403"/>
      <c r="H587" s="256" cm="1">
        <f t="array" ref="H587:I587">J585:K585</f>
        <v>80</v>
      </c>
      <c r="I587" s="256">
        <v>0</v>
      </c>
      <c r="J587" s="256">
        <f>H587</f>
        <v>80</v>
      </c>
      <c r="K587" s="256">
        <f>K586</f>
        <v>-320</v>
      </c>
      <c r="L587" s="260"/>
      <c r="M587" s="261"/>
      <c r="N587" s="256">
        <v>1280</v>
      </c>
      <c r="O587" s="256">
        <v>-400</v>
      </c>
      <c r="P587" s="256">
        <v>1280</v>
      </c>
      <c r="Q587" s="256">
        <v>-720</v>
      </c>
      <c r="R587" s="256" t="s">
        <v>5</v>
      </c>
      <c r="S587" s="261">
        <v>1</v>
      </c>
      <c r="Z587" s="261"/>
    </row>
    <row r="588" spans="7:26" ht="30.75" thickBot="1" x14ac:dyDescent="0.3">
      <c r="G588" s="403"/>
      <c r="H588" s="256" cm="1">
        <f t="array" ref="H588:I588">J587:K587</f>
        <v>80</v>
      </c>
      <c r="I588" s="256">
        <v>-320</v>
      </c>
      <c r="J588" s="256" cm="1">
        <f t="array" ref="J588:K588">J586:K586</f>
        <v>0</v>
      </c>
      <c r="K588" s="256">
        <v>-320</v>
      </c>
      <c r="L588" s="273" t="s">
        <v>514</v>
      </c>
      <c r="M588" s="274">
        <v>100</v>
      </c>
      <c r="N588" s="256">
        <v>1280</v>
      </c>
      <c r="O588" s="256">
        <v>-720</v>
      </c>
      <c r="P588" s="256">
        <v>1200</v>
      </c>
      <c r="Q588" s="256">
        <v>-720</v>
      </c>
      <c r="R588" s="256" t="s">
        <v>5</v>
      </c>
      <c r="S588" s="261">
        <v>1</v>
      </c>
      <c r="Z588" s="261"/>
    </row>
    <row r="589" spans="7:26" x14ac:dyDescent="0.25">
      <c r="G589" s="403"/>
      <c r="H589" s="256">
        <f>H585+Parametry!T11</f>
        <v>10</v>
      </c>
      <c r="I589" s="256">
        <f>I588-M588</f>
        <v>-420</v>
      </c>
      <c r="J589" s="256">
        <f>J587-Parametry!T11</f>
        <v>70</v>
      </c>
      <c r="K589" s="256">
        <f>I589</f>
        <v>-420</v>
      </c>
      <c r="L589" s="260"/>
      <c r="M589" s="261"/>
      <c r="N589" s="256">
        <v>1210</v>
      </c>
      <c r="O589" s="256">
        <v>-820</v>
      </c>
      <c r="P589" s="256">
        <v>1270</v>
      </c>
      <c r="Q589" s="256">
        <v>-820</v>
      </c>
      <c r="R589" s="256" t="s">
        <v>5</v>
      </c>
      <c r="S589" s="261">
        <v>1</v>
      </c>
      <c r="Z589" s="261"/>
    </row>
    <row r="590" spans="7:26" x14ac:dyDescent="0.25">
      <c r="G590" s="403"/>
      <c r="H590" s="256">
        <f>H589-Parametry!T11</f>
        <v>0</v>
      </c>
      <c r="I590" s="256">
        <f>I589-Parametry!U11</f>
        <v>-430</v>
      </c>
      <c r="J590" s="256" cm="1">
        <f t="array" ref="J590:K590">H589:I589</f>
        <v>10</v>
      </c>
      <c r="K590" s="256">
        <v>-420</v>
      </c>
      <c r="L590" s="260"/>
      <c r="M590" s="261"/>
      <c r="N590" s="256">
        <v>1200</v>
      </c>
      <c r="O590" s="256">
        <v>-830</v>
      </c>
      <c r="P590" s="256">
        <v>1210</v>
      </c>
      <c r="Q590" s="256">
        <v>-820</v>
      </c>
      <c r="R590" s="256" t="s">
        <v>5</v>
      </c>
      <c r="S590" s="261">
        <v>1</v>
      </c>
      <c r="Z590" s="261"/>
    </row>
    <row r="591" spans="7:26" ht="15.75" thickBot="1" x14ac:dyDescent="0.3">
      <c r="G591" s="403"/>
      <c r="H591" s="256">
        <f>J589+Parametry!T11</f>
        <v>80</v>
      </c>
      <c r="I591" s="256">
        <f>I590</f>
        <v>-430</v>
      </c>
      <c r="J591" s="256" cm="1">
        <f t="array" ref="J591:K591">J589:K589</f>
        <v>70</v>
      </c>
      <c r="K591" s="256">
        <v>-420</v>
      </c>
      <c r="L591" s="260"/>
      <c r="M591" s="261"/>
      <c r="N591" s="256">
        <v>1280</v>
      </c>
      <c r="O591" s="256">
        <v>-830</v>
      </c>
      <c r="P591" s="256">
        <v>1270</v>
      </c>
      <c r="Q591" s="256">
        <v>-820</v>
      </c>
      <c r="R591" s="256" t="s">
        <v>5</v>
      </c>
      <c r="S591" s="261">
        <v>1</v>
      </c>
      <c r="Z591" s="261"/>
    </row>
    <row r="592" spans="7:26" x14ac:dyDescent="0.25">
      <c r="G592" s="403"/>
      <c r="H592" s="256" cm="1">
        <f t="array" ref="H592:I592">H590:I590</f>
        <v>0</v>
      </c>
      <c r="I592" s="256">
        <v>-430</v>
      </c>
      <c r="J592" s="256">
        <f>H592</f>
        <v>0</v>
      </c>
      <c r="K592" s="256">
        <f>I592-(Parametry!P11-Parametry!U11)</f>
        <v>-450</v>
      </c>
      <c r="L592" s="260"/>
      <c r="M592" s="261"/>
      <c r="N592" s="256">
        <v>1200</v>
      </c>
      <c r="O592" s="256">
        <v>-830</v>
      </c>
      <c r="P592" s="256">
        <v>1200</v>
      </c>
      <c r="Q592" s="256">
        <v>-850</v>
      </c>
      <c r="R592" s="256" t="s">
        <v>5</v>
      </c>
      <c r="S592" s="261">
        <v>1</v>
      </c>
      <c r="V592" s="383" t="s">
        <v>518</v>
      </c>
      <c r="W592" s="384"/>
      <c r="Z592" s="261"/>
    </row>
    <row r="593" spans="7:26" x14ac:dyDescent="0.25">
      <c r="G593" s="403"/>
      <c r="H593" s="256" cm="1">
        <f t="array" ref="H593:I593">H591:I591</f>
        <v>80</v>
      </c>
      <c r="I593" s="256">
        <v>-430</v>
      </c>
      <c r="J593" s="256">
        <f>H593</f>
        <v>80</v>
      </c>
      <c r="K593" s="256">
        <f>K592</f>
        <v>-450</v>
      </c>
      <c r="L593" s="260"/>
      <c r="M593" s="261"/>
      <c r="N593" s="256">
        <v>1280</v>
      </c>
      <c r="O593" s="256">
        <v>-830</v>
      </c>
      <c r="P593" s="256">
        <v>1280</v>
      </c>
      <c r="Q593" s="256">
        <v>-850</v>
      </c>
      <c r="R593" s="256" t="s">
        <v>5</v>
      </c>
      <c r="S593" s="261">
        <v>1</v>
      </c>
      <c r="V593" s="260">
        <f>H599</f>
        <v>30</v>
      </c>
      <c r="W593" s="261">
        <f>I600</f>
        <v>-40</v>
      </c>
      <c r="Z593" s="261"/>
    </row>
    <row r="594" spans="7:26" ht="15.75" thickBot="1" x14ac:dyDescent="0.3">
      <c r="G594" s="404"/>
      <c r="H594" s="264" cm="1">
        <f t="array" ref="H594:I594">J593:K593</f>
        <v>80</v>
      </c>
      <c r="I594" s="264">
        <v>-450</v>
      </c>
      <c r="J594" s="264" cm="1">
        <f t="array" ref="J594:K594">J592:K592</f>
        <v>0</v>
      </c>
      <c r="K594" s="264">
        <v>-450</v>
      </c>
      <c r="L594" s="263"/>
      <c r="M594" s="265"/>
      <c r="N594" s="264">
        <v>1280</v>
      </c>
      <c r="O594" s="264">
        <v>-850</v>
      </c>
      <c r="P594" s="264">
        <v>1200</v>
      </c>
      <c r="Q594" s="264">
        <v>-850</v>
      </c>
      <c r="R594" s="264" t="s">
        <v>5</v>
      </c>
      <c r="S594" s="265">
        <v>1</v>
      </c>
      <c r="V594" s="263">
        <f>V593</f>
        <v>30</v>
      </c>
      <c r="W594" s="265">
        <f>I601</f>
        <v>-180</v>
      </c>
      <c r="Z594" s="261"/>
    </row>
    <row r="595" spans="7:26" ht="15.75" thickBot="1" x14ac:dyDescent="0.3">
      <c r="G595" s="402" t="s">
        <v>111</v>
      </c>
      <c r="H595" s="258">
        <v>0</v>
      </c>
      <c r="I595" s="258">
        <v>0</v>
      </c>
      <c r="J595" s="258">
        <f>Parametry!Q10</f>
        <v>60</v>
      </c>
      <c r="K595" s="258">
        <f>I595</f>
        <v>0</v>
      </c>
      <c r="L595" s="277">
        <f>L585+Parametry!E76</f>
        <v>1600</v>
      </c>
      <c r="M595" s="296">
        <f>M585</f>
        <v>-400</v>
      </c>
      <c r="N595" s="258" cm="1">
        <f t="array" ref="N595:N601">L595+H595:H601</f>
        <v>1600</v>
      </c>
      <c r="O595" s="258" cm="1">
        <f t="array" ref="O595:O601">M595+I595:I601</f>
        <v>-400</v>
      </c>
      <c r="P595" s="258" cm="1">
        <f t="array" ref="P595:P601">L595+J595:J601</f>
        <v>1660</v>
      </c>
      <c r="Q595" s="258" cm="1">
        <f t="array" ref="Q595:Q601">M595+K595:K601</f>
        <v>-400</v>
      </c>
      <c r="R595" s="258" t="s">
        <v>5</v>
      </c>
      <c r="S595" s="259">
        <v>1</v>
      </c>
      <c r="V595" s="394" t="s">
        <v>517</v>
      </c>
      <c r="W595" s="395"/>
      <c r="X595" s="395"/>
      <c r="Y595" s="395"/>
      <c r="Z595" s="396"/>
    </row>
    <row r="596" spans="7:26" ht="15.75" thickBot="1" x14ac:dyDescent="0.3">
      <c r="G596" s="403"/>
      <c r="H596" s="256" cm="1">
        <f t="array" ref="H596:I596">H595:I595</f>
        <v>0</v>
      </c>
      <c r="I596" s="256">
        <v>0</v>
      </c>
      <c r="J596" s="256">
        <f>H596</f>
        <v>0</v>
      </c>
      <c r="K596" s="256">
        <f>-Parametry!R10</f>
        <v>-220</v>
      </c>
      <c r="L596" s="260"/>
      <c r="M596" s="261"/>
      <c r="N596" s="256">
        <v>1600</v>
      </c>
      <c r="O596" s="256">
        <v>-400</v>
      </c>
      <c r="P596" s="256">
        <v>1600</v>
      </c>
      <c r="Q596" s="256">
        <v>-620</v>
      </c>
      <c r="R596" s="256" t="s">
        <v>5</v>
      </c>
      <c r="S596" s="261">
        <v>1</v>
      </c>
      <c r="V596" s="271" t="s">
        <v>83</v>
      </c>
      <c r="W596" s="266" t="s">
        <v>84</v>
      </c>
      <c r="X596" s="266" t="s">
        <v>101</v>
      </c>
      <c r="Y596" s="266" t="s">
        <v>97</v>
      </c>
      <c r="Z596" s="293" t="s">
        <v>19</v>
      </c>
    </row>
    <row r="597" spans="7:26" ht="45.75" thickBot="1" x14ac:dyDescent="0.3">
      <c r="G597" s="403"/>
      <c r="H597" s="256" cm="1">
        <f t="array" ref="H597:I597">J595:K595</f>
        <v>60</v>
      </c>
      <c r="I597" s="256">
        <v>0</v>
      </c>
      <c r="J597" s="256">
        <f>H597</f>
        <v>60</v>
      </c>
      <c r="K597" s="256">
        <f>K596</f>
        <v>-220</v>
      </c>
      <c r="L597" s="273" t="s">
        <v>515</v>
      </c>
      <c r="M597" s="274">
        <v>20</v>
      </c>
      <c r="N597" s="256">
        <v>1660</v>
      </c>
      <c r="O597" s="256">
        <v>-400</v>
      </c>
      <c r="P597" s="256">
        <v>1660</v>
      </c>
      <c r="Q597" s="256">
        <v>-620</v>
      </c>
      <c r="R597" s="256" t="s">
        <v>5</v>
      </c>
      <c r="S597" s="261">
        <v>1</v>
      </c>
      <c r="V597" s="260" cm="1">
        <f t="array" ref="V597:V598">L595+V593:V594</f>
        <v>1630</v>
      </c>
      <c r="W597" s="256" cm="1">
        <f t="array" ref="W597:W598">M595+W593:W594</f>
        <v>-440</v>
      </c>
      <c r="X597" s="256">
        <v>11</v>
      </c>
      <c r="Y597" s="256" t="s">
        <v>5</v>
      </c>
      <c r="Z597" s="261">
        <v>1</v>
      </c>
    </row>
    <row r="598" spans="7:26" ht="15.75" thickBot="1" x14ac:dyDescent="0.3">
      <c r="G598" s="403"/>
      <c r="H598" s="256" cm="1">
        <f t="array" ref="H598:I598">J596:K596</f>
        <v>0</v>
      </c>
      <c r="I598" s="256">
        <v>-220</v>
      </c>
      <c r="J598" s="256" cm="1">
        <f t="array" ref="J598:K598">J597:K597</f>
        <v>60</v>
      </c>
      <c r="K598" s="256">
        <v>-220</v>
      </c>
      <c r="L598" s="260"/>
      <c r="M598" s="261"/>
      <c r="N598" s="256">
        <v>1600</v>
      </c>
      <c r="O598" s="256">
        <v>-620</v>
      </c>
      <c r="P598" s="256">
        <v>1660</v>
      </c>
      <c r="Q598" s="256">
        <v>-620</v>
      </c>
      <c r="R598" s="256" t="s">
        <v>5</v>
      </c>
      <c r="S598" s="261">
        <v>1</v>
      </c>
      <c r="V598" s="263">
        <v>1630</v>
      </c>
      <c r="W598" s="264">
        <v>-580</v>
      </c>
      <c r="X598" s="264">
        <v>11</v>
      </c>
      <c r="Y598" s="264" t="s">
        <v>5</v>
      </c>
      <c r="Z598" s="265">
        <v>1</v>
      </c>
    </row>
    <row r="599" spans="7:26" x14ac:dyDescent="0.25">
      <c r="G599" s="403"/>
      <c r="H599" s="256">
        <f>(H597+H595)/2</f>
        <v>30</v>
      </c>
      <c r="I599" s="256">
        <f>I595+M597</f>
        <v>20</v>
      </c>
      <c r="J599" s="256">
        <f>H599</f>
        <v>30</v>
      </c>
      <c r="K599" s="256">
        <f>K598-M597</f>
        <v>-240</v>
      </c>
      <c r="L599" s="260" t="s">
        <v>366</v>
      </c>
      <c r="M599" s="261"/>
      <c r="N599" s="256">
        <v>1630</v>
      </c>
      <c r="O599" s="256">
        <v>-380</v>
      </c>
      <c r="P599" s="256">
        <v>1630</v>
      </c>
      <c r="Q599" s="256">
        <v>-640</v>
      </c>
      <c r="R599" s="256" t="s">
        <v>8</v>
      </c>
      <c r="S599" s="261">
        <v>1</v>
      </c>
      <c r="Z599" s="261"/>
    </row>
    <row r="600" spans="7:26" x14ac:dyDescent="0.25">
      <c r="G600" s="403"/>
      <c r="H600" s="256">
        <f>H599-Parametry!E65</f>
        <v>14</v>
      </c>
      <c r="I600" s="256">
        <f>-Parametry!R10/2+Parametry!R40/2</f>
        <v>-40</v>
      </c>
      <c r="J600" s="256">
        <f>H599+Parametry!E65</f>
        <v>46</v>
      </c>
      <c r="K600" s="256">
        <f>I600</f>
        <v>-40</v>
      </c>
      <c r="L600" s="260" t="s">
        <v>516</v>
      </c>
      <c r="M600" s="261"/>
      <c r="N600" s="256">
        <v>1614</v>
      </c>
      <c r="O600" s="256">
        <v>-440</v>
      </c>
      <c r="P600" s="256">
        <v>1646</v>
      </c>
      <c r="Q600" s="256">
        <v>-440</v>
      </c>
      <c r="R600" s="256" t="s">
        <v>372</v>
      </c>
      <c r="S600" s="261">
        <v>1</v>
      </c>
      <c r="Z600" s="261"/>
    </row>
    <row r="601" spans="7:26" ht="15.75" thickBot="1" x14ac:dyDescent="0.3">
      <c r="G601" s="404"/>
      <c r="H601" s="264">
        <f>H600</f>
        <v>14</v>
      </c>
      <c r="I601" s="264">
        <f>-Parametry!R10/2-Parametry!R40/2</f>
        <v>-180</v>
      </c>
      <c r="J601" s="264">
        <f>J600</f>
        <v>46</v>
      </c>
      <c r="K601" s="264">
        <f>I601</f>
        <v>-180</v>
      </c>
      <c r="L601" s="263" t="s">
        <v>516</v>
      </c>
      <c r="M601" s="265"/>
      <c r="N601" s="264">
        <v>1614</v>
      </c>
      <c r="O601" s="264">
        <v>-580</v>
      </c>
      <c r="P601" s="264">
        <v>1646</v>
      </c>
      <c r="Q601" s="264">
        <v>-580</v>
      </c>
      <c r="R601" s="264" t="s">
        <v>372</v>
      </c>
      <c r="S601" s="265">
        <v>1</v>
      </c>
      <c r="Z601" s="261"/>
    </row>
    <row r="602" spans="7:26" x14ac:dyDescent="0.25">
      <c r="G602" s="402" t="s">
        <v>482</v>
      </c>
      <c r="H602" s="258" cm="1">
        <f t="array" ref="H602:K606">D144:G148</f>
        <v>-160</v>
      </c>
      <c r="I602" s="258">
        <v>3362.614027537873</v>
      </c>
      <c r="J602" s="258">
        <v>-160</v>
      </c>
      <c r="K602" s="258">
        <v>3096</v>
      </c>
      <c r="L602" s="257">
        <f>-H602+L595+Parametry!E76</f>
        <v>2160</v>
      </c>
      <c r="M602" s="259">
        <f>-I602+M595</f>
        <v>-3762.614027537873</v>
      </c>
      <c r="N602" s="258" cm="1">
        <f t="array" ref="N602:N608">L602+H602:H608</f>
        <v>2000</v>
      </c>
      <c r="O602" s="258" cm="1">
        <f t="array" ref="O602:O608">M602+I602:I608</f>
        <v>-400</v>
      </c>
      <c r="P602" s="258" cm="1">
        <f t="array" ref="P602:P608">L602+J602:J608</f>
        <v>2000</v>
      </c>
      <c r="Q602" s="258" cm="1">
        <f t="array" ref="Q602:Q608">M602+K602:K608</f>
        <v>-666.61402753787297</v>
      </c>
      <c r="R602" s="258" t="s">
        <v>5</v>
      </c>
      <c r="S602" s="259">
        <v>1</v>
      </c>
      <c r="Z602" s="261"/>
    </row>
    <row r="603" spans="7:26" ht="15.75" thickBot="1" x14ac:dyDescent="0.3">
      <c r="G603" s="403"/>
      <c r="H603" s="256">
        <v>160</v>
      </c>
      <c r="I603" s="256">
        <v>3096</v>
      </c>
      <c r="J603" s="256">
        <v>205.03512836867566</v>
      </c>
      <c r="K603" s="256">
        <v>3130.6424064374432</v>
      </c>
      <c r="L603" s="263">
        <f>L602+H602</f>
        <v>2000</v>
      </c>
      <c r="M603" s="265">
        <f>M602+I602</f>
        <v>-400</v>
      </c>
      <c r="N603" s="256">
        <v>2320</v>
      </c>
      <c r="O603" s="256">
        <v>-666.61402753787297</v>
      </c>
      <c r="P603" s="256">
        <v>2365.0351283686755</v>
      </c>
      <c r="Q603" s="256">
        <v>-631.97162110042973</v>
      </c>
      <c r="R603" s="256" t="s">
        <v>5</v>
      </c>
      <c r="S603" s="261">
        <v>1</v>
      </c>
      <c r="Z603" s="261"/>
    </row>
    <row r="604" spans="7:26" x14ac:dyDescent="0.25">
      <c r="G604" s="403"/>
      <c r="H604" s="256">
        <v>205.03512836867566</v>
      </c>
      <c r="I604" s="256">
        <v>3130.6424064374432</v>
      </c>
      <c r="J604" s="256">
        <v>240.70320787838256</v>
      </c>
      <c r="K604" s="256">
        <v>3158.079390675679</v>
      </c>
      <c r="L604" s="260"/>
      <c r="M604" s="261"/>
      <c r="N604" s="256">
        <v>2365.0351283686755</v>
      </c>
      <c r="O604" s="256">
        <v>-631.97162110042973</v>
      </c>
      <c r="P604" s="256">
        <v>2400.7032078783827</v>
      </c>
      <c r="Q604" s="256">
        <v>-604.53463686219402</v>
      </c>
      <c r="R604" s="256" t="s">
        <v>5</v>
      </c>
      <c r="S604" s="261">
        <v>1</v>
      </c>
      <c r="Z604" s="261"/>
    </row>
    <row r="605" spans="7:26" x14ac:dyDescent="0.25">
      <c r="G605" s="403"/>
      <c r="H605" s="256">
        <v>240.70320787838256</v>
      </c>
      <c r="I605" s="256">
        <v>3158.079390675679</v>
      </c>
      <c r="J605" s="256">
        <v>276.37128738808957</v>
      </c>
      <c r="K605" s="256">
        <v>3185.5163749139151</v>
      </c>
      <c r="L605" s="260"/>
      <c r="M605" s="261"/>
      <c r="N605" s="256">
        <v>2400.7032078783827</v>
      </c>
      <c r="O605" s="256">
        <v>-604.53463686219402</v>
      </c>
      <c r="P605" s="256">
        <v>2436.3712873880895</v>
      </c>
      <c r="Q605" s="256">
        <v>-577.09765262395786</v>
      </c>
      <c r="R605" s="256" t="s">
        <v>5</v>
      </c>
      <c r="S605" s="261">
        <v>1</v>
      </c>
      <c r="Z605" s="261"/>
    </row>
    <row r="606" spans="7:26" x14ac:dyDescent="0.25">
      <c r="G606" s="403"/>
      <c r="H606" s="256">
        <v>276.37128738808957</v>
      </c>
      <c r="I606" s="256">
        <v>3185.5163749139151</v>
      </c>
      <c r="J606" s="256">
        <v>276.37128738808957</v>
      </c>
      <c r="K606" s="256">
        <v>3393.1600176550392</v>
      </c>
      <c r="L606" s="260"/>
      <c r="M606" s="261"/>
      <c r="N606" s="256">
        <v>2436.3712873880895</v>
      </c>
      <c r="O606" s="256">
        <v>-577.09765262395786</v>
      </c>
      <c r="P606" s="256">
        <v>2436.3712873880895</v>
      </c>
      <c r="Q606" s="256">
        <v>-369.45400988283382</v>
      </c>
      <c r="R606" s="256" t="s">
        <v>5</v>
      </c>
      <c r="S606" s="261">
        <v>1</v>
      </c>
      <c r="Z606" s="261"/>
    </row>
    <row r="607" spans="7:26" x14ac:dyDescent="0.25">
      <c r="G607" s="403"/>
      <c r="H607" s="256" cm="1">
        <f t="array" ref="H607:I607">H602:I602</f>
        <v>-160</v>
      </c>
      <c r="I607" s="256">
        <v>3362.614027537873</v>
      </c>
      <c r="J607" s="256" cm="1">
        <f t="array" ref="J607:K607">J606:K606</f>
        <v>276.37128738808957</v>
      </c>
      <c r="K607" s="256">
        <v>3393.1600176550392</v>
      </c>
      <c r="L607" s="260"/>
      <c r="M607" s="261"/>
      <c r="N607" s="256">
        <v>2000</v>
      </c>
      <c r="O607" s="256">
        <v>-400</v>
      </c>
      <c r="P607" s="256">
        <v>2436.3712873880895</v>
      </c>
      <c r="Q607" s="256">
        <v>-369.45400988283382</v>
      </c>
      <c r="R607" s="256" t="s">
        <v>5</v>
      </c>
      <c r="S607" s="261">
        <v>1</v>
      </c>
      <c r="Z607" s="261"/>
    </row>
    <row r="608" spans="7:26" ht="15.75" thickBot="1" x14ac:dyDescent="0.3">
      <c r="G608" s="404"/>
      <c r="H608" s="264" cm="1">
        <f t="array" ref="H608:I608">J602:K602</f>
        <v>-160</v>
      </c>
      <c r="I608" s="264">
        <v>3096</v>
      </c>
      <c r="J608" s="264" cm="1">
        <f t="array" ref="J608:K608">H603:I603</f>
        <v>160</v>
      </c>
      <c r="K608" s="264">
        <v>3096</v>
      </c>
      <c r="L608" s="263"/>
      <c r="M608" s="265"/>
      <c r="N608" s="264">
        <v>2000</v>
      </c>
      <c r="O608" s="264">
        <v>-666.61402753787297</v>
      </c>
      <c r="P608" s="264">
        <v>2320</v>
      </c>
      <c r="Q608" s="264">
        <v>-666.61402753787297</v>
      </c>
      <c r="R608" s="264" t="s">
        <v>5</v>
      </c>
      <c r="S608" s="265">
        <v>1</v>
      </c>
      <c r="Z608" s="261"/>
    </row>
    <row r="609" spans="7:26" ht="15.75" thickBot="1" x14ac:dyDescent="0.3">
      <c r="G609" s="402" t="s">
        <v>460</v>
      </c>
      <c r="H609" s="258">
        <f>Parametry!E49</f>
        <v>20</v>
      </c>
      <c r="I609" s="258">
        <v>0</v>
      </c>
      <c r="J609" s="258">
        <f>Parametry!G30/2-Parametry!H30/2</f>
        <v>77</v>
      </c>
      <c r="K609" s="258">
        <f>I609</f>
        <v>0</v>
      </c>
      <c r="L609" s="277">
        <f>L603+Parametry!E76</f>
        <v>2400</v>
      </c>
      <c r="M609" s="296">
        <f>M603</f>
        <v>-400</v>
      </c>
      <c r="N609" s="258" cm="1">
        <f t="array" ref="N609:N614">L609+H609:H614</f>
        <v>2420</v>
      </c>
      <c r="O609" s="258" cm="1">
        <f t="array" ref="O609:O614">M609+I609:I614</f>
        <v>-400</v>
      </c>
      <c r="P609" s="258" cm="1">
        <f t="array" ref="P609:P614">L609+J609:J614</f>
        <v>2477</v>
      </c>
      <c r="Q609" s="258" cm="1">
        <f t="array" ref="Q609:Q614">M609+K609:K614</f>
        <v>-400</v>
      </c>
      <c r="R609" s="258" t="s">
        <v>5</v>
      </c>
      <c r="S609" s="259">
        <v>1</v>
      </c>
      <c r="Z609" s="261"/>
    </row>
    <row r="610" spans="7:26" x14ac:dyDescent="0.25">
      <c r="G610" s="403"/>
      <c r="H610" s="256">
        <f>I609</f>
        <v>0</v>
      </c>
      <c r="I610" s="256">
        <f>Parametry!F49</f>
        <v>20</v>
      </c>
      <c r="J610" s="256" cm="1">
        <f t="array" ref="J610:K610">H609:I609</f>
        <v>20</v>
      </c>
      <c r="K610" s="256">
        <v>0</v>
      </c>
      <c r="L610" s="260"/>
      <c r="M610" s="261"/>
      <c r="N610" s="256">
        <v>2400</v>
      </c>
      <c r="O610" s="256">
        <v>-380</v>
      </c>
      <c r="P610" s="256">
        <v>2420</v>
      </c>
      <c r="Q610" s="256">
        <v>-400</v>
      </c>
      <c r="R610" s="256" t="s">
        <v>5</v>
      </c>
      <c r="S610" s="261">
        <v>1</v>
      </c>
      <c r="Z610" s="261"/>
    </row>
    <row r="611" spans="7:26" x14ac:dyDescent="0.25">
      <c r="G611" s="403"/>
      <c r="H611" s="256" cm="1">
        <f t="array" ref="H611:I611">H610:I610</f>
        <v>0</v>
      </c>
      <c r="I611" s="256">
        <v>20</v>
      </c>
      <c r="J611" s="256">
        <v>0</v>
      </c>
      <c r="K611" s="256">
        <f>Parametry!F30-2*Parametry!I30-Parametry!F49</f>
        <v>114</v>
      </c>
      <c r="L611" s="260"/>
      <c r="M611" s="261"/>
      <c r="N611" s="256">
        <v>2400</v>
      </c>
      <c r="O611" s="256">
        <v>-380</v>
      </c>
      <c r="P611" s="256">
        <v>2400</v>
      </c>
      <c r="Q611" s="256">
        <v>-286</v>
      </c>
      <c r="R611" s="256" t="s">
        <v>5</v>
      </c>
      <c r="S611" s="261">
        <v>1</v>
      </c>
      <c r="Z611" s="261"/>
    </row>
    <row r="612" spans="7:26" x14ac:dyDescent="0.25">
      <c r="G612" s="403"/>
      <c r="H612" s="256" cm="1">
        <f t="array" ref="H612:I612">J611:K611</f>
        <v>0</v>
      </c>
      <c r="I612" s="256">
        <v>114</v>
      </c>
      <c r="J612" s="256">
        <f>H612+Parametry!E49</f>
        <v>20</v>
      </c>
      <c r="K612" s="256">
        <f>I612+Parametry!F49</f>
        <v>134</v>
      </c>
      <c r="L612" s="260"/>
      <c r="M612" s="261"/>
      <c r="N612" s="256">
        <v>2400</v>
      </c>
      <c r="O612" s="256">
        <v>-286</v>
      </c>
      <c r="P612" s="256">
        <v>2420</v>
      </c>
      <c r="Q612" s="256">
        <v>-266</v>
      </c>
      <c r="R612" s="256" t="s">
        <v>5</v>
      </c>
      <c r="S612" s="261">
        <v>1</v>
      </c>
      <c r="Z612" s="261"/>
    </row>
    <row r="613" spans="7:26" x14ac:dyDescent="0.25">
      <c r="G613" s="403"/>
      <c r="H613" s="256" cm="1">
        <f t="array" ref="H613:I613">J612:K612</f>
        <v>20</v>
      </c>
      <c r="I613" s="256">
        <v>134</v>
      </c>
      <c r="J613" s="256">
        <f>J609</f>
        <v>77</v>
      </c>
      <c r="K613" s="256">
        <f>I613</f>
        <v>134</v>
      </c>
      <c r="L613" s="260"/>
      <c r="M613" s="261"/>
      <c r="N613" s="256">
        <v>2420</v>
      </c>
      <c r="O613" s="256">
        <v>-266</v>
      </c>
      <c r="P613" s="256">
        <v>2477</v>
      </c>
      <c r="Q613" s="256">
        <v>-266</v>
      </c>
      <c r="R613" s="256" t="s">
        <v>5</v>
      </c>
      <c r="S613" s="261">
        <v>1</v>
      </c>
      <c r="Z613" s="261"/>
    </row>
    <row r="614" spans="7:26" ht="15.75" thickBot="1" x14ac:dyDescent="0.3">
      <c r="G614" s="404"/>
      <c r="H614" s="264" cm="1">
        <f t="array" ref="H614:I614">J613:K613</f>
        <v>77</v>
      </c>
      <c r="I614" s="264">
        <v>134</v>
      </c>
      <c r="J614" s="264" cm="1">
        <f t="array" ref="J614:K614">J609:K609</f>
        <v>77</v>
      </c>
      <c r="K614" s="264">
        <v>0</v>
      </c>
      <c r="L614" s="263"/>
      <c r="M614" s="265"/>
      <c r="N614" s="264">
        <v>2477</v>
      </c>
      <c r="O614" s="264">
        <v>-266</v>
      </c>
      <c r="P614" s="264">
        <v>2477</v>
      </c>
      <c r="Q614" s="264">
        <v>-400</v>
      </c>
      <c r="R614" s="264" t="s">
        <v>5</v>
      </c>
      <c r="S614" s="265">
        <v>1</v>
      </c>
      <c r="Z614" s="261"/>
    </row>
    <row r="615" spans="7:26" x14ac:dyDescent="0.25">
      <c r="G615" s="402" t="s">
        <v>519</v>
      </c>
      <c r="H615" s="258" cm="1">
        <f t="array" ref="H615:K615">N371:Q371</f>
        <v>-1360</v>
      </c>
      <c r="I615" s="258">
        <v>3096</v>
      </c>
      <c r="J615" s="258">
        <v>-1360</v>
      </c>
      <c r="K615" s="258">
        <v>3196</v>
      </c>
      <c r="L615" s="257">
        <f>-H615+L609+Parametry!E76</f>
        <v>4160</v>
      </c>
      <c r="M615" s="259">
        <f>-I615+M609</f>
        <v>-3496</v>
      </c>
      <c r="N615" s="258" cm="1">
        <f t="array" ref="N615:N621">L615+H615:H621</f>
        <v>2800</v>
      </c>
      <c r="O615" s="258" cm="1">
        <f t="array" ref="O615:O621">M615+I615:I621</f>
        <v>-400</v>
      </c>
      <c r="P615" s="258" cm="1">
        <f t="array" ref="P615:P621">L615+J615:J621</f>
        <v>2800</v>
      </c>
      <c r="Q615" s="258" cm="1">
        <f t="array" ref="Q615:Q621">M615+K615:K621</f>
        <v>-300</v>
      </c>
      <c r="R615" s="258" t="s">
        <v>5</v>
      </c>
      <c r="S615" s="259">
        <v>1</v>
      </c>
      <c r="Z615" s="261"/>
    </row>
    <row r="616" spans="7:26" ht="15.75" thickBot="1" x14ac:dyDescent="0.3">
      <c r="G616" s="403"/>
      <c r="H616" s="256" cm="1">
        <f t="array" ref="H616:K616">N373:Q373</f>
        <v>-1280</v>
      </c>
      <c r="I616" s="256">
        <v>3373.8140275378728</v>
      </c>
      <c r="J616" s="256">
        <v>-1360</v>
      </c>
      <c r="K616" s="256">
        <v>3196</v>
      </c>
      <c r="L616" s="263">
        <f>L615+H615</f>
        <v>2800</v>
      </c>
      <c r="M616" s="265">
        <f>M615+I615</f>
        <v>-400</v>
      </c>
      <c r="N616" s="256">
        <v>2880</v>
      </c>
      <c r="O616" s="256">
        <v>-122.18597246212721</v>
      </c>
      <c r="P616" s="256">
        <v>2800</v>
      </c>
      <c r="Q616" s="256">
        <v>-300</v>
      </c>
      <c r="R616" s="256" t="s">
        <v>5</v>
      </c>
      <c r="S616" s="261">
        <v>1</v>
      </c>
      <c r="Z616" s="261"/>
    </row>
    <row r="617" spans="7:26" x14ac:dyDescent="0.25">
      <c r="G617" s="403"/>
      <c r="H617" s="256" cm="1">
        <f t="array" ref="H617:K617">N375:Q375</f>
        <v>-1223</v>
      </c>
      <c r="I617" s="256">
        <v>3096</v>
      </c>
      <c r="J617" s="256">
        <v>-1203</v>
      </c>
      <c r="K617" s="256">
        <v>3116</v>
      </c>
      <c r="L617" s="260"/>
      <c r="M617" s="261"/>
      <c r="N617" s="256">
        <v>2937</v>
      </c>
      <c r="O617" s="256">
        <v>-400</v>
      </c>
      <c r="P617" s="256">
        <v>2957</v>
      </c>
      <c r="Q617" s="256">
        <v>-380</v>
      </c>
      <c r="R617" s="256" t="s">
        <v>5</v>
      </c>
      <c r="S617" s="261">
        <v>1</v>
      </c>
      <c r="Z617" s="261"/>
    </row>
    <row r="618" spans="7:26" x14ac:dyDescent="0.25">
      <c r="G618" s="403"/>
      <c r="H618" s="256" cm="1">
        <f t="array" ref="H618:K618">N377:Q377</f>
        <v>-1203</v>
      </c>
      <c r="I618" s="256">
        <v>3353.8140275378728</v>
      </c>
      <c r="J618" s="256">
        <v>-1223</v>
      </c>
      <c r="K618" s="256">
        <v>3373.8140275378728</v>
      </c>
      <c r="L618" s="260"/>
      <c r="M618" s="261"/>
      <c r="N618" s="256">
        <v>2957</v>
      </c>
      <c r="O618" s="256">
        <v>-142.18597246212721</v>
      </c>
      <c r="P618" s="256">
        <v>2937</v>
      </c>
      <c r="Q618" s="256">
        <v>-122.18597246212721</v>
      </c>
      <c r="R618" s="256" t="s">
        <v>5</v>
      </c>
      <c r="S618" s="261">
        <v>1</v>
      </c>
      <c r="Z618" s="261"/>
    </row>
    <row r="619" spans="7:26" x14ac:dyDescent="0.25">
      <c r="G619" s="403"/>
      <c r="H619" s="256" cm="1">
        <f t="array" ref="H619:I619">H616:I616</f>
        <v>-1280</v>
      </c>
      <c r="I619" s="256">
        <v>3373.8140275378728</v>
      </c>
      <c r="J619" s="256" cm="1">
        <f t="array" ref="J619:K619">J618:K618</f>
        <v>-1223</v>
      </c>
      <c r="K619" s="256">
        <v>3373.8140275378728</v>
      </c>
      <c r="L619" s="260"/>
      <c r="M619" s="261"/>
      <c r="N619" s="256">
        <v>2880</v>
      </c>
      <c r="O619" s="256">
        <v>-122.18597246212721</v>
      </c>
      <c r="P619" s="256">
        <v>2937</v>
      </c>
      <c r="Q619" s="256">
        <v>-122.18597246212721</v>
      </c>
      <c r="R619" s="256" t="s">
        <v>5</v>
      </c>
      <c r="S619" s="261">
        <v>1</v>
      </c>
      <c r="Z619" s="261"/>
    </row>
    <row r="620" spans="7:26" x14ac:dyDescent="0.25">
      <c r="G620" s="403"/>
      <c r="H620" s="256" cm="1">
        <f t="array" ref="H620:I620">H618:I618</f>
        <v>-1203</v>
      </c>
      <c r="I620" s="256">
        <v>3353.8140275378728</v>
      </c>
      <c r="J620" s="256" cm="1">
        <f t="array" ref="J620:K620">J617:K617</f>
        <v>-1203</v>
      </c>
      <c r="K620" s="256">
        <v>3116</v>
      </c>
      <c r="L620" s="260"/>
      <c r="M620" s="261"/>
      <c r="N620" s="256">
        <v>2957</v>
      </c>
      <c r="O620" s="256">
        <v>-142.18597246212721</v>
      </c>
      <c r="P620" s="256">
        <v>2957</v>
      </c>
      <c r="Q620" s="256">
        <v>-380</v>
      </c>
      <c r="R620" s="256" t="s">
        <v>5</v>
      </c>
      <c r="S620" s="261">
        <v>1</v>
      </c>
      <c r="Z620" s="261"/>
    </row>
    <row r="621" spans="7:26" ht="15.75" thickBot="1" x14ac:dyDescent="0.3">
      <c r="G621" s="404"/>
      <c r="H621" s="264" cm="1">
        <f t="array" ref="H621:I621">H617:I617</f>
        <v>-1223</v>
      </c>
      <c r="I621" s="264">
        <v>3096</v>
      </c>
      <c r="J621" s="264" cm="1">
        <f t="array" ref="J621:K621">H615:I615</f>
        <v>-1360</v>
      </c>
      <c r="K621" s="264">
        <v>3096</v>
      </c>
      <c r="L621" s="263"/>
      <c r="M621" s="265"/>
      <c r="N621" s="264">
        <v>2937</v>
      </c>
      <c r="O621" s="264">
        <v>-400</v>
      </c>
      <c r="P621" s="264">
        <v>2800</v>
      </c>
      <c r="Q621" s="264">
        <v>-400</v>
      </c>
      <c r="R621" s="264" t="s">
        <v>5</v>
      </c>
      <c r="S621" s="265">
        <v>1</v>
      </c>
      <c r="Z621" s="261"/>
    </row>
    <row r="622" spans="7:26" ht="15.75" thickBot="1" x14ac:dyDescent="0.3">
      <c r="G622" s="402" t="s">
        <v>481</v>
      </c>
      <c r="H622" s="258">
        <v>0</v>
      </c>
      <c r="I622" s="258">
        <v>0</v>
      </c>
      <c r="J622" s="258">
        <v>0</v>
      </c>
      <c r="K622" s="258">
        <f>Parametry!R9</f>
        <v>320</v>
      </c>
      <c r="L622" s="277">
        <f>L616+Parametry!E76</f>
        <v>3200</v>
      </c>
      <c r="M622" s="296">
        <f>M616</f>
        <v>-400</v>
      </c>
      <c r="N622" s="258" cm="1">
        <f t="array" ref="N622:N625">L622+H622:H625</f>
        <v>3200</v>
      </c>
      <c r="O622" s="258" cm="1">
        <f t="array" ref="O622:O625">M622+I622:I625</f>
        <v>-400</v>
      </c>
      <c r="P622" s="258" cm="1">
        <f t="array" ref="P622:P625">L622+J622:J625</f>
        <v>3200</v>
      </c>
      <c r="Q622" s="258" cm="1">
        <f t="array" ref="Q622:Q625">M622+K622:K625</f>
        <v>-80</v>
      </c>
      <c r="R622" s="258" t="s">
        <v>5</v>
      </c>
      <c r="S622" s="259">
        <v>1</v>
      </c>
      <c r="Z622" s="261"/>
    </row>
    <row r="623" spans="7:26" x14ac:dyDescent="0.25">
      <c r="G623" s="403"/>
      <c r="H623" s="256" cm="1">
        <f t="array" ref="H623:I623">H622:I622</f>
        <v>0</v>
      </c>
      <c r="I623" s="256">
        <v>0</v>
      </c>
      <c r="J623" s="256">
        <f>Parametry!Q9</f>
        <v>320</v>
      </c>
      <c r="K623" s="256">
        <f>I623</f>
        <v>0</v>
      </c>
      <c r="L623" s="260"/>
      <c r="M623" s="261"/>
      <c r="N623" s="256">
        <v>3200</v>
      </c>
      <c r="O623" s="256">
        <v>-400</v>
      </c>
      <c r="P623" s="256">
        <v>3520</v>
      </c>
      <c r="Q623" s="256">
        <v>-400</v>
      </c>
      <c r="R623" s="256" t="s">
        <v>5</v>
      </c>
      <c r="S623" s="261">
        <v>1</v>
      </c>
      <c r="Z623" s="261"/>
    </row>
    <row r="624" spans="7:26" x14ac:dyDescent="0.25">
      <c r="G624" s="403"/>
      <c r="H624" s="256" cm="1">
        <f t="array" ref="H624:I624">J623:K623</f>
        <v>320</v>
      </c>
      <c r="I624" s="256">
        <v>0</v>
      </c>
      <c r="J624" s="256">
        <f>H624</f>
        <v>320</v>
      </c>
      <c r="K624" s="256">
        <f>K622</f>
        <v>320</v>
      </c>
      <c r="L624" s="260"/>
      <c r="M624" s="261"/>
      <c r="N624" s="256">
        <v>3520</v>
      </c>
      <c r="O624" s="256">
        <v>-400</v>
      </c>
      <c r="P624" s="256">
        <v>3520</v>
      </c>
      <c r="Q624" s="256">
        <v>-80</v>
      </c>
      <c r="R624" s="256" t="s">
        <v>5</v>
      </c>
      <c r="S624" s="261">
        <v>1</v>
      </c>
      <c r="Z624" s="261"/>
    </row>
    <row r="625" spans="6:26" ht="15.75" thickBot="1" x14ac:dyDescent="0.3">
      <c r="G625" s="404"/>
      <c r="H625" s="264" cm="1">
        <f t="array" ref="H625:I625">J622:K622</f>
        <v>0</v>
      </c>
      <c r="I625" s="264">
        <v>320</v>
      </c>
      <c r="J625" s="264" cm="1">
        <f t="array" ref="J625:K625">J624:K624</f>
        <v>320</v>
      </c>
      <c r="K625" s="264">
        <v>320</v>
      </c>
      <c r="L625" s="263"/>
      <c r="M625" s="265"/>
      <c r="N625" s="264">
        <v>3200</v>
      </c>
      <c r="O625" s="264">
        <v>-80</v>
      </c>
      <c r="P625" s="264">
        <v>3520</v>
      </c>
      <c r="Q625" s="264">
        <v>-80</v>
      </c>
      <c r="R625" s="264" t="s">
        <v>5</v>
      </c>
      <c r="S625" s="265">
        <v>1</v>
      </c>
      <c r="Z625" s="261"/>
    </row>
    <row r="626" spans="6:26" ht="15.75" thickBot="1" x14ac:dyDescent="0.3">
      <c r="G626" s="402" t="s">
        <v>469</v>
      </c>
      <c r="H626" s="258">
        <v>0</v>
      </c>
      <c r="I626" s="258">
        <v>0</v>
      </c>
      <c r="J626" s="258">
        <f>Parametry!H50</f>
        <v>40</v>
      </c>
      <c r="K626" s="258">
        <f>I626</f>
        <v>0</v>
      </c>
      <c r="L626" s="277">
        <f>L622+Parametry!E76</f>
        <v>3600</v>
      </c>
      <c r="M626" s="296">
        <f>M622</f>
        <v>-400</v>
      </c>
      <c r="N626" s="258" cm="1">
        <f t="array" ref="N626:N629">L626+H626:H629</f>
        <v>3600</v>
      </c>
      <c r="O626" s="258" cm="1">
        <f t="array" ref="O626:O629">M626+I626:I629</f>
        <v>-400</v>
      </c>
      <c r="P626" s="258" cm="1">
        <f t="array" ref="P626:P629">L626+J626:J629</f>
        <v>3640</v>
      </c>
      <c r="Q626" s="258" cm="1">
        <f t="array" ref="Q626:Q629">M626+K626:K629</f>
        <v>-400</v>
      </c>
      <c r="R626" s="258" t="s">
        <v>5</v>
      </c>
      <c r="S626" s="259">
        <v>1</v>
      </c>
      <c r="Z626" s="261"/>
    </row>
    <row r="627" spans="6:26" x14ac:dyDescent="0.25">
      <c r="G627" s="403"/>
      <c r="H627" s="256" cm="1">
        <f t="array" ref="H627:I627">H626:I626</f>
        <v>0</v>
      </c>
      <c r="I627" s="256">
        <v>0</v>
      </c>
      <c r="J627" s="256">
        <f>0</f>
        <v>0</v>
      </c>
      <c r="K627" s="256">
        <f>Parametry!I50</f>
        <v>150</v>
      </c>
      <c r="L627" s="260"/>
      <c r="M627" s="261"/>
      <c r="N627" s="256">
        <v>3600</v>
      </c>
      <c r="O627" s="256">
        <v>-400</v>
      </c>
      <c r="P627" s="256">
        <v>3600</v>
      </c>
      <c r="Q627" s="256">
        <v>-250</v>
      </c>
      <c r="R627" s="256" t="s">
        <v>5</v>
      </c>
      <c r="S627" s="261">
        <v>1</v>
      </c>
      <c r="Z627" s="261"/>
    </row>
    <row r="628" spans="6:26" x14ac:dyDescent="0.25">
      <c r="G628" s="403"/>
      <c r="H628" s="256" cm="1">
        <f t="array" ref="H628:I628">J626:K626</f>
        <v>40</v>
      </c>
      <c r="I628" s="256">
        <v>0</v>
      </c>
      <c r="J628" s="256">
        <f>H628</f>
        <v>40</v>
      </c>
      <c r="K628" s="256">
        <f>K627</f>
        <v>150</v>
      </c>
      <c r="L628" s="260"/>
      <c r="M628" s="261"/>
      <c r="N628" s="256">
        <v>3640</v>
      </c>
      <c r="O628" s="256">
        <v>-400</v>
      </c>
      <c r="P628" s="256">
        <v>3640</v>
      </c>
      <c r="Q628" s="256">
        <v>-250</v>
      </c>
      <c r="R628" s="256" t="s">
        <v>5</v>
      </c>
      <c r="S628" s="261">
        <v>1</v>
      </c>
      <c r="Z628" s="261"/>
    </row>
    <row r="629" spans="6:26" ht="15.75" thickBot="1" x14ac:dyDescent="0.3">
      <c r="G629" s="404"/>
      <c r="H629" s="264" cm="1">
        <f t="array" ref="H629:I629">J628:K628</f>
        <v>40</v>
      </c>
      <c r="I629" s="264">
        <v>150</v>
      </c>
      <c r="J629" s="264" cm="1">
        <f t="array" ref="J629:K629">J627:K627</f>
        <v>0</v>
      </c>
      <c r="K629" s="264">
        <v>150</v>
      </c>
      <c r="L629" s="263"/>
      <c r="M629" s="265"/>
      <c r="N629" s="264">
        <v>3640</v>
      </c>
      <c r="O629" s="264">
        <v>-250</v>
      </c>
      <c r="P629" s="264">
        <v>3600</v>
      </c>
      <c r="Q629" s="264">
        <v>-250</v>
      </c>
      <c r="R629" s="264" t="s">
        <v>5</v>
      </c>
      <c r="S629" s="265">
        <v>1</v>
      </c>
      <c r="T629" s="264"/>
      <c r="U629" s="264"/>
      <c r="V629" s="264"/>
      <c r="W629" s="264"/>
      <c r="X629" s="264"/>
      <c r="Y629" s="264"/>
      <c r="Z629" s="265"/>
    </row>
    <row r="630" spans="6:26" ht="15.75" thickBot="1" x14ac:dyDescent="0.3"/>
    <row r="631" spans="6:26" x14ac:dyDescent="0.25">
      <c r="F631" s="362" t="s">
        <v>545</v>
      </c>
      <c r="G631" s="363"/>
      <c r="H631" s="394" t="s">
        <v>521</v>
      </c>
      <c r="I631" s="395"/>
      <c r="J631" s="396"/>
      <c r="L631" s="256" t="s">
        <v>531</v>
      </c>
    </row>
    <row r="632" spans="6:26" x14ac:dyDescent="0.25">
      <c r="F632" s="256">
        <v>-500</v>
      </c>
      <c r="G632" s="256">
        <v>-1000</v>
      </c>
      <c r="H632" s="271" t="s">
        <v>522</v>
      </c>
      <c r="I632" s="266" t="s">
        <v>523</v>
      </c>
      <c r="J632" s="293" t="s">
        <v>524</v>
      </c>
      <c r="L632" s="256" t="s">
        <v>532</v>
      </c>
      <c r="M632" s="256" t="s">
        <v>466</v>
      </c>
      <c r="N632" s="256" t="s">
        <v>533</v>
      </c>
    </row>
    <row r="633" spans="6:26" x14ac:dyDescent="0.25">
      <c r="F633" s="256" t="s">
        <v>546</v>
      </c>
      <c r="G633" s="256">
        <f>H654+2</f>
        <v>24</v>
      </c>
      <c r="H633" s="260">
        <v>1</v>
      </c>
      <c r="I633" s="256" t="str">
        <f>"Słup" &amp; " " &amp; Parametry!O14</f>
        <v>Słup HEB 300</v>
      </c>
      <c r="J633" s="261">
        <f>Parametry!E18</f>
        <v>12000</v>
      </c>
    </row>
    <row r="634" spans="6:26" x14ac:dyDescent="0.25">
      <c r="F634" s="256" t="s">
        <v>547</v>
      </c>
      <c r="G634" s="256">
        <v>3</v>
      </c>
      <c r="H634" s="260">
        <v>2</v>
      </c>
      <c r="I634" s="256" t="s">
        <v>525</v>
      </c>
      <c r="J634" s="261" t="str">
        <f>Parametry!P12 &amp; "x" &amp; Parametry!Q12 &amp; "x" &amp;Parametry!R12</f>
        <v>20x320x320</v>
      </c>
    </row>
    <row r="635" spans="6:26" x14ac:dyDescent="0.25">
      <c r="F635" s="256" t="s">
        <v>548</v>
      </c>
      <c r="G635" s="256">
        <v>10</v>
      </c>
      <c r="H635" s="260">
        <v>3</v>
      </c>
      <c r="I635" s="256" t="s">
        <v>528</v>
      </c>
      <c r="J635" s="261" t="str">
        <f>Parametry!P9&amp;"x"&amp;Parametry!Q9&amp;"x"&amp;Parametry!R9</f>
        <v>16x320x320</v>
      </c>
    </row>
    <row r="636" spans="6:26" x14ac:dyDescent="0.25">
      <c r="F636" s="256" t="s">
        <v>549</v>
      </c>
      <c r="G636" s="256">
        <v>100</v>
      </c>
      <c r="H636" s="260">
        <v>4</v>
      </c>
      <c r="I636" s="256" t="s">
        <v>529</v>
      </c>
      <c r="J636" s="261" t="str">
        <f>Parametry!P10&amp;"x"&amp;Parametry!Q10&amp;"x"&amp;Parametry!R10</f>
        <v>20x60x220</v>
      </c>
    </row>
    <row r="637" spans="6:26" x14ac:dyDescent="0.25">
      <c r="F637" s="256" t="s">
        <v>550</v>
      </c>
      <c r="G637" s="256">
        <v>5</v>
      </c>
      <c r="H637" s="260">
        <v>5</v>
      </c>
      <c r="I637" s="256" t="s">
        <v>530</v>
      </c>
      <c r="J637" s="261" t="str">
        <f>Parametry!P11&amp;"x"&amp;Parametry!Q11&amp;"x"&amp;Parametry!R11</f>
        <v>30x80x320</v>
      </c>
    </row>
    <row r="638" spans="6:26" x14ac:dyDescent="0.25">
      <c r="H638" s="260">
        <v>6</v>
      </c>
      <c r="I638" s="256" t="s">
        <v>539</v>
      </c>
      <c r="J638" s="261" t="str">
        <f>L638&amp;"x"&amp;M638&amp;"x"&amp;N638</f>
        <v>12x157x278</v>
      </c>
      <c r="L638" s="256">
        <f>Parametry!M6</f>
        <v>12</v>
      </c>
      <c r="M638" s="256">
        <f>ROUND(ABS(H615-H620),0)</f>
        <v>157</v>
      </c>
      <c r="N638" s="256">
        <f>ROUND(ABS(I615-I619),0)</f>
        <v>278</v>
      </c>
    </row>
    <row r="639" spans="6:26" x14ac:dyDescent="0.25">
      <c r="H639" s="260">
        <v>7</v>
      </c>
      <c r="I639" s="256" t="s">
        <v>534</v>
      </c>
      <c r="J639" s="261" t="str">
        <f>L639&amp;"x"&amp;M639&amp;"x"&amp;N639</f>
        <v>6x436x297</v>
      </c>
      <c r="L639" s="256">
        <f>Parametry!O35</f>
        <v>6</v>
      </c>
      <c r="M639" s="256">
        <f>ROUND(ABS(H602-H606),0)</f>
        <v>436</v>
      </c>
      <c r="N639" s="256">
        <f>ROUND(ABS(K606-K602),0)</f>
        <v>297</v>
      </c>
    </row>
    <row r="640" spans="6:26" x14ac:dyDescent="0.25">
      <c r="H640" s="260">
        <v>8</v>
      </c>
      <c r="I640" s="256" t="s">
        <v>283</v>
      </c>
      <c r="J640" s="261" t="str">
        <f>L640&amp;"x"&amp;M640&amp;"x"&amp;N640</f>
        <v>12x77x134</v>
      </c>
      <c r="L640" s="256">
        <f>L638</f>
        <v>12</v>
      </c>
      <c r="M640" s="256">
        <f>ROUND(ABS(H610-H614),0)</f>
        <v>77</v>
      </c>
      <c r="N640" s="256">
        <f>ROUND(ABS(I614-I609),0)</f>
        <v>134</v>
      </c>
    </row>
    <row r="641" spans="7:14" x14ac:dyDescent="0.25">
      <c r="G641" s="256" t="s">
        <v>469</v>
      </c>
      <c r="H641" s="260">
        <v>9</v>
      </c>
      <c r="I641" s="256" t="s">
        <v>535</v>
      </c>
      <c r="J641" s="261" t="str">
        <f>L641&amp;"x"&amp;M641&amp;"x"&amp;N641</f>
        <v>30x40x150</v>
      </c>
      <c r="L641" s="256" cm="1">
        <f t="array" ref="L641:N641">Parametry!G50:I50</f>
        <v>30</v>
      </c>
      <c r="M641" s="256">
        <v>40</v>
      </c>
      <c r="N641" s="256">
        <v>150</v>
      </c>
    </row>
    <row r="642" spans="7:14" x14ac:dyDescent="0.25">
      <c r="G642" s="256" t="s">
        <v>536</v>
      </c>
      <c r="H642" s="260">
        <v>10</v>
      </c>
      <c r="I642" s="256" t="str">
        <f>"Kątownik" &amp; " " &amp; Parametry!E36</f>
        <v>Kątownik L150x75x10</v>
      </c>
      <c r="J642" s="261" t="str">
        <f>"Długość" &amp; " " &amp;N642</f>
        <v>Długość 140</v>
      </c>
      <c r="N642" s="256">
        <f>Parametry!I50-2*Parametry!E60</f>
        <v>140</v>
      </c>
    </row>
    <row r="643" spans="7:14" x14ac:dyDescent="0.25">
      <c r="H643" s="260">
        <v>11</v>
      </c>
      <c r="I643" s="256" t="str">
        <f>"Płatew" &amp; " " &amp; Parametry!E29</f>
        <v>Płatew IPE 240</v>
      </c>
      <c r="J643" s="261" t="str">
        <f>"Długość" &amp; " " &amp;N643</f>
        <v>Długość 6000</v>
      </c>
      <c r="N643" s="256">
        <f>Parametry!E19</f>
        <v>6000</v>
      </c>
    </row>
    <row r="644" spans="7:14" x14ac:dyDescent="0.25">
      <c r="H644" s="260">
        <v>12</v>
      </c>
      <c r="I644" s="256" t="str">
        <f>"Pas górny" &amp; " " &amp; Parametry!E30</f>
        <v>Pas górny HEA 160</v>
      </c>
      <c r="J644" s="261" t="str">
        <f>"Długość" &amp; " " &amp;N644</f>
        <v>Długość 15037</v>
      </c>
      <c r="N644" s="256">
        <f>ROUND(Parametry!E22/2/COS(ATAN(Parametry!E23/100)),0)</f>
        <v>15037</v>
      </c>
    </row>
    <row r="645" spans="7:14" x14ac:dyDescent="0.25">
      <c r="G645" s="256" t="s">
        <v>537</v>
      </c>
      <c r="H645" s="260">
        <v>13</v>
      </c>
      <c r="I645" s="256" t="str">
        <f>"Krzyżulec 2"&amp;Parametry!E33</f>
        <v>Krzyżulec 2L45x45x5</v>
      </c>
      <c r="J645" s="261" t="str">
        <f>"Długość" &amp; " " &amp;N645</f>
        <v>Długość 2215</v>
      </c>
      <c r="N645" s="256">
        <f>ROUND(SQRT(POWER(N25-N75,2)+POWER(O25-O75,2)),0)</f>
        <v>2215</v>
      </c>
    </row>
    <row r="646" spans="7:14" x14ac:dyDescent="0.25">
      <c r="G646" s="256" t="s">
        <v>502</v>
      </c>
      <c r="H646" s="260">
        <v>14</v>
      </c>
      <c r="I646" s="256" t="s">
        <v>538</v>
      </c>
      <c r="J646" s="261" t="str">
        <f>L646&amp;"x"&amp;M646&amp;"x"&amp;N646</f>
        <v>6x100x65</v>
      </c>
      <c r="L646" s="256">
        <f>Parametry!O35</f>
        <v>6</v>
      </c>
      <c r="M646" s="256">
        <f>Parametry!O37</f>
        <v>100</v>
      </c>
      <c r="N646" s="256">
        <f>ROUND(ABS(I560-I559),0)</f>
        <v>65</v>
      </c>
    </row>
    <row r="647" spans="7:14" x14ac:dyDescent="0.25">
      <c r="G647" s="256" t="s">
        <v>52</v>
      </c>
      <c r="H647" s="260">
        <v>15</v>
      </c>
      <c r="I647" s="256" t="str">
        <f>"Krzyżulec 2"&amp;Parametry!E34</f>
        <v>Krzyżulec 2L75x75x7</v>
      </c>
      <c r="J647" s="261" t="str">
        <f>"Długość" &amp; " " &amp;N647</f>
        <v>Długość 2373</v>
      </c>
      <c r="N647" s="256">
        <f>ROUND(SQRT(POWER(N104-N118,2)+POWER(O104-O118,2)),0)</f>
        <v>2373</v>
      </c>
    </row>
    <row r="648" spans="7:14" x14ac:dyDescent="0.25">
      <c r="G648" s="256" t="s">
        <v>540</v>
      </c>
      <c r="H648" s="260">
        <v>16</v>
      </c>
      <c r="I648" s="256" t="s">
        <v>538</v>
      </c>
      <c r="J648" s="261" t="str">
        <f>L648&amp;"x"&amp;M648&amp;"x"&amp;N648</f>
        <v>6x100x95</v>
      </c>
      <c r="L648" s="256">
        <f>L646</f>
        <v>6</v>
      </c>
      <c r="M648" s="256">
        <f>M646</f>
        <v>100</v>
      </c>
      <c r="N648" s="256">
        <f>ROUND(ABS(I564-I563),0)</f>
        <v>95</v>
      </c>
    </row>
    <row r="649" spans="7:14" x14ac:dyDescent="0.25">
      <c r="G649" s="256" t="s">
        <v>541</v>
      </c>
      <c r="H649" s="260">
        <v>17</v>
      </c>
      <c r="I649" s="256" t="s">
        <v>275</v>
      </c>
      <c r="J649" s="261" t="str">
        <f t="shared" ref="J649:J650" si="84">L649&amp;"x"&amp;M649&amp;"x"&amp;N649</f>
        <v>6x345x152</v>
      </c>
      <c r="L649" s="256">
        <f>L648</f>
        <v>6</v>
      </c>
      <c r="M649" s="256">
        <f>ROUND(ABS(H567-H571),0)</f>
        <v>345</v>
      </c>
      <c r="N649" s="256">
        <f>ROUND(ABS(I567-I570),0)</f>
        <v>152</v>
      </c>
    </row>
    <row r="650" spans="7:14" x14ac:dyDescent="0.25">
      <c r="G650" s="256" t="s">
        <v>542</v>
      </c>
      <c r="H650" s="260">
        <v>18</v>
      </c>
      <c r="I650" s="256" t="s">
        <v>275</v>
      </c>
      <c r="J650" s="261" t="str">
        <f t="shared" si="84"/>
        <v>6x312x180</v>
      </c>
      <c r="L650" s="256">
        <f>L649</f>
        <v>6</v>
      </c>
      <c r="M650" s="256">
        <f>ROUND(ABS(H573-H577),0)</f>
        <v>312</v>
      </c>
      <c r="N650" s="256">
        <f>ROUND(ABS(I573-I575),0)</f>
        <v>180</v>
      </c>
    </row>
    <row r="651" spans="7:14" x14ac:dyDescent="0.25">
      <c r="H651" s="260">
        <v>19</v>
      </c>
      <c r="I651" s="256" t="str">
        <f>"Pas dolny "&amp;Parametry!E31</f>
        <v>Pas dolny HEA 160</v>
      </c>
      <c r="J651" s="261" t="str">
        <f>"Długość" &amp; " " &amp;N651</f>
        <v>Długość 14830</v>
      </c>
      <c r="N651" s="256">
        <f>Parametry!E22/2-Parametry!P14/2-Parametry!U16</f>
        <v>14830</v>
      </c>
    </row>
    <row r="652" spans="7:14" x14ac:dyDescent="0.25">
      <c r="H652" s="260">
        <v>20</v>
      </c>
      <c r="I652" s="256" t="str">
        <f>"Kątownik "&amp;Parametry!E43</f>
        <v>Kątownik L150x90x10</v>
      </c>
      <c r="J652" s="261" t="str">
        <f>"Długość" &amp; " " &amp;N652</f>
        <v>Długość 160</v>
      </c>
      <c r="N652" s="256">
        <f>Parametry!G31</f>
        <v>160</v>
      </c>
    </row>
    <row r="653" spans="7:14" x14ac:dyDescent="0.25">
      <c r="H653" s="260">
        <v>21</v>
      </c>
      <c r="I653" s="256" t="s">
        <v>543</v>
      </c>
      <c r="J653" s="261" t="str">
        <f t="shared" ref="J653:J654" si="85">"Długość" &amp; " " &amp;N653</f>
        <v>Długość 50</v>
      </c>
      <c r="N653" s="256">
        <f>S190</f>
        <v>50</v>
      </c>
    </row>
    <row r="654" spans="7:14" ht="15.75" thickBot="1" x14ac:dyDescent="0.3">
      <c r="H654" s="263">
        <v>22</v>
      </c>
      <c r="I654" s="264" t="s">
        <v>544</v>
      </c>
      <c r="J654" s="265" t="str">
        <f t="shared" si="85"/>
        <v>Długość 100</v>
      </c>
      <c r="N654" s="256">
        <f>S225</f>
        <v>100</v>
      </c>
    </row>
  </sheetData>
  <mergeCells count="178">
    <mergeCell ref="G602:G608"/>
    <mergeCell ref="G609:G614"/>
    <mergeCell ref="G615:G621"/>
    <mergeCell ref="G622:G625"/>
    <mergeCell ref="G626:G629"/>
    <mergeCell ref="G556:Z556"/>
    <mergeCell ref="V558:Y558"/>
    <mergeCell ref="H631:J631"/>
    <mergeCell ref="F631:G631"/>
    <mergeCell ref="L557:M557"/>
    <mergeCell ref="N557:S557"/>
    <mergeCell ref="H557:K557"/>
    <mergeCell ref="V595:Z595"/>
    <mergeCell ref="V592:W592"/>
    <mergeCell ref="G559:G562"/>
    <mergeCell ref="G563:G566"/>
    <mergeCell ref="G567:G572"/>
    <mergeCell ref="G573:G578"/>
    <mergeCell ref="G579:G584"/>
    <mergeCell ref="G585:G594"/>
    <mergeCell ref="G595:G601"/>
    <mergeCell ref="M499:M502"/>
    <mergeCell ref="M503:M506"/>
    <mergeCell ref="M507:M510"/>
    <mergeCell ref="V490:Z490"/>
    <mergeCell ref="C3:I3"/>
    <mergeCell ref="C78:C86"/>
    <mergeCell ref="C87:C88"/>
    <mergeCell ref="M19:T19"/>
    <mergeCell ref="C27:C53"/>
    <mergeCell ref="R10:R13"/>
    <mergeCell ref="C54:C68"/>
    <mergeCell ref="K4:R4"/>
    <mergeCell ref="V403:Z403"/>
    <mergeCell ref="W15:Z15"/>
    <mergeCell ref="W32:Z32"/>
    <mergeCell ref="C109:C113"/>
    <mergeCell ref="U106:AN106"/>
    <mergeCell ref="U107:AN107"/>
    <mergeCell ref="U140:AN140"/>
    <mergeCell ref="V173:AD173"/>
    <mergeCell ref="AF6:AS6"/>
    <mergeCell ref="W7:X7"/>
    <mergeCell ref="C12:C26"/>
    <mergeCell ref="R6:R9"/>
    <mergeCell ref="AF25:AS25"/>
    <mergeCell ref="AF8:AI8"/>
    <mergeCell ref="AK8:AN8"/>
    <mergeCell ref="AK7:AL7"/>
    <mergeCell ref="AP8:AS8"/>
    <mergeCell ref="AP7:AQ7"/>
    <mergeCell ref="W12:X12"/>
    <mergeCell ref="R14:R16"/>
    <mergeCell ref="AF49:AS49"/>
    <mergeCell ref="AF64:AI64"/>
    <mergeCell ref="M53:T53"/>
    <mergeCell ref="M67:O67"/>
    <mergeCell ref="M80:T80"/>
    <mergeCell ref="M97:O97"/>
    <mergeCell ref="C89:C93"/>
    <mergeCell ref="AF31:AS31"/>
    <mergeCell ref="AF33:AI33"/>
    <mergeCell ref="AK33:AN33"/>
    <mergeCell ref="AK32:AL32"/>
    <mergeCell ref="AP33:AS33"/>
    <mergeCell ref="AP32:AQ32"/>
    <mergeCell ref="W39:Y39"/>
    <mergeCell ref="W47:Y47"/>
    <mergeCell ref="C69:C77"/>
    <mergeCell ref="AF69:AS69"/>
    <mergeCell ref="AK70:AL70"/>
    <mergeCell ref="AP70:AQ70"/>
    <mergeCell ref="AF71:AI71"/>
    <mergeCell ref="AK71:AN71"/>
    <mergeCell ref="AP71:AS71"/>
    <mergeCell ref="AF87:AS87"/>
    <mergeCell ref="AF102:AI102"/>
    <mergeCell ref="C94:C108"/>
    <mergeCell ref="C208:C216"/>
    <mergeCell ref="V142:Y142"/>
    <mergeCell ref="AA142:AD142"/>
    <mergeCell ref="M178:T178"/>
    <mergeCell ref="C158:C162"/>
    <mergeCell ref="V109:Y109"/>
    <mergeCell ref="AA109:AD109"/>
    <mergeCell ref="C163:C171"/>
    <mergeCell ref="C172:C180"/>
    <mergeCell ref="M157:T157"/>
    <mergeCell ref="C144:C148"/>
    <mergeCell ref="C149:C152"/>
    <mergeCell ref="M170:T170"/>
    <mergeCell ref="C153:C157"/>
    <mergeCell ref="C139:C143"/>
    <mergeCell ref="M152:T152"/>
    <mergeCell ref="M153:T153"/>
    <mergeCell ref="C114:C118"/>
    <mergeCell ref="M114:T114"/>
    <mergeCell ref="C119:C133"/>
    <mergeCell ref="C134:C138"/>
    <mergeCell ref="M129:T129"/>
    <mergeCell ref="V174:AD174"/>
    <mergeCell ref="V187:AD187"/>
    <mergeCell ref="T203:T214"/>
    <mergeCell ref="T215:T218"/>
    <mergeCell ref="U202:X202"/>
    <mergeCell ref="C282:C313"/>
    <mergeCell ref="C314:C345"/>
    <mergeCell ref="C346:C377"/>
    <mergeCell ref="M223:S223"/>
    <mergeCell ref="M188:S188"/>
    <mergeCell ref="M224:P224"/>
    <mergeCell ref="M189:P189"/>
    <mergeCell ref="M355:M358"/>
    <mergeCell ref="C271:C275"/>
    <mergeCell ref="C276:C278"/>
    <mergeCell ref="C279:C281"/>
    <mergeCell ref="R194:S194"/>
    <mergeCell ref="R229:S229"/>
    <mergeCell ref="M187:S187"/>
    <mergeCell ref="C262:C270"/>
    <mergeCell ref="C217:C225"/>
    <mergeCell ref="C226:C234"/>
    <mergeCell ref="C235:C243"/>
    <mergeCell ref="C244:C252"/>
    <mergeCell ref="C253:C261"/>
    <mergeCell ref="C181:C189"/>
    <mergeCell ref="C190:C198"/>
    <mergeCell ref="C199:C207"/>
    <mergeCell ref="AG202:AJ202"/>
    <mergeCell ref="T201:AJ201"/>
    <mergeCell ref="T290:AJ290"/>
    <mergeCell ref="T292:T295"/>
    <mergeCell ref="T296:T298"/>
    <mergeCell ref="AB202:AE202"/>
    <mergeCell ref="M258:S258"/>
    <mergeCell ref="M259:S259"/>
    <mergeCell ref="M260:P260"/>
    <mergeCell ref="R265:S265"/>
    <mergeCell ref="T226:T257"/>
    <mergeCell ref="T258:T289"/>
    <mergeCell ref="T219:T224"/>
    <mergeCell ref="C378:C464"/>
    <mergeCell ref="C465:C551"/>
    <mergeCell ref="M321:S321"/>
    <mergeCell ref="M324:M327"/>
    <mergeCell ref="M328:M331"/>
    <mergeCell ref="M332:M335"/>
    <mergeCell ref="M336:M339"/>
    <mergeCell ref="M344:M350"/>
    <mergeCell ref="M340:M343"/>
    <mergeCell ref="M351:M354"/>
    <mergeCell ref="M511:M518"/>
    <mergeCell ref="M481:Z481"/>
    <mergeCell ref="V537:Y537"/>
    <mergeCell ref="M520:AC520"/>
    <mergeCell ref="M522:M533"/>
    <mergeCell ref="M535:M537"/>
    <mergeCell ref="M538:M545"/>
    <mergeCell ref="M546:M555"/>
    <mergeCell ref="M416:M447"/>
    <mergeCell ref="M448:M479"/>
    <mergeCell ref="V483:Y483"/>
    <mergeCell ref="M483:M486"/>
    <mergeCell ref="M487:M490"/>
    <mergeCell ref="M491:M498"/>
    <mergeCell ref="M320:AE320"/>
    <mergeCell ref="X374:AE374"/>
    <mergeCell ref="M379:M384"/>
    <mergeCell ref="M385:M397"/>
    <mergeCell ref="M398:M402"/>
    <mergeCell ref="M403:M415"/>
    <mergeCell ref="AA360:AB360"/>
    <mergeCell ref="V360:Y360"/>
    <mergeCell ref="V375:W375"/>
    <mergeCell ref="M359:M370"/>
    <mergeCell ref="M371:M378"/>
    <mergeCell ref="V322:Y322"/>
    <mergeCell ref="V412:W412"/>
  </mergeCells>
  <phoneticPr fontId="7" type="noConversion"/>
  <conditionalFormatting sqref="T322:T479">
    <cfRule type="containsBlanks" dxfId="3" priority="4">
      <formula>LEN(TRIM(T322))=0</formula>
    </cfRule>
  </conditionalFormatting>
  <conditionalFormatting sqref="T483:T518">
    <cfRule type="containsBlanks" dxfId="2" priority="3">
      <formula>LEN(TRIM(T483))=0</formula>
    </cfRule>
  </conditionalFormatting>
  <conditionalFormatting sqref="T522:T555">
    <cfRule type="containsBlanks" dxfId="1" priority="2">
      <formula>LEN(TRIM(T522))=0</formula>
    </cfRule>
  </conditionalFormatting>
  <conditionalFormatting sqref="AC523:AC530">
    <cfRule type="containsBlanks" dxfId="0" priority="1">
      <formula>LEN(TRIM(AC523))=0</formula>
    </cfRule>
  </conditionalFormatting>
  <pageMargins left="0.7" right="0.7" top="0.75" bottom="0.75" header="0.3" footer="0.3"/>
  <ignoredErrors>
    <ignoredError sqref="E9 F10" formula="1"/>
  </ignoredError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0A2AA2C3-060C-4CB9-8CB7-A1C689716E03}">
          <x14:formula1>
            <xm:f>Parametry!$X$8:$X$20</xm:f>
          </x14:formula1>
          <xm:sqref>P10:P13 H5:H143 AI104 AK96:AK101 AK58:AK63 AI66 Y324:Y325 Y485:Y486 Y539:Y540</xm:sqref>
        </x14:dataValidation>
        <x14:dataValidation type="list" allowBlank="1" showInputMessage="1" showErrorMessage="1" xr:uid="{ED295CF0-0A5C-465F-BB7A-5D537B714331}">
          <x14:formula1>
            <xm:f>Parametry!$X$8:$X$21</xm:f>
          </x14:formula1>
          <xm:sqref>P14:P16 H144:H281</xm:sqref>
        </x14:dataValidation>
        <x14:dataValidation type="list" allowBlank="1" showInputMessage="1" showErrorMessage="1" xr:uid="{26D6A727-059F-4082-98C3-9C8D29218D94}">
          <x14:formula1>
            <xm:f>Parametry!$X$7:$X$22</xm:f>
          </x14:formula1>
          <xm:sqref>Y302:Y315 H282:H292 H294:H411 H414:H431 H433:H443 H520:H530 H465:H498 H446:H463 H501:H518 H533:H550 R416:R479</xm:sqref>
        </x14:dataValidation>
        <x14:dataValidation type="list" allowBlank="1" showInputMessage="1" showErrorMessage="1" xr:uid="{10B84BB2-005B-4C63-A367-DED8D7E6C567}">
          <x14:formula1>
            <xm:f>Parametry!$X$7:$X$24</xm:f>
          </x14:formula1>
          <xm:sqref>H293 H412:H413 H432 H444:H445 H499:H500 H531:H532 H464 H519 H551 R336 R328:R332 R340 R322:R324 R359 R344:R355 AC376 R371:R415 Y405:Y408 Y492:Y495 R491 R483:R487 R495 R499:R518 R546:R555 AA523:AA530 R522 R534:R542 R559:R629 Y597:Y598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7C8C0-5D4F-45BD-9C4C-549D83C9D9AA}">
  <sheetPr codeName="Arkusz2"/>
  <dimension ref="E6:AE263"/>
  <sheetViews>
    <sheetView topLeftCell="B198" zoomScaleNormal="100" workbookViewId="0">
      <selection activeCell="H218" sqref="H218"/>
    </sheetView>
  </sheetViews>
  <sheetFormatPr defaultRowHeight="15" x14ac:dyDescent="0.25"/>
  <cols>
    <col min="15" max="15" width="32.42578125" customWidth="1"/>
    <col min="16" max="16" width="27.140625" customWidth="1"/>
  </cols>
  <sheetData>
    <row r="6" spans="5:23" x14ac:dyDescent="0.25">
      <c r="O6" s="253"/>
    </row>
    <row r="7" spans="5:23" x14ac:dyDescent="0.25">
      <c r="E7" t="s">
        <v>20</v>
      </c>
      <c r="O7" s="253"/>
      <c r="P7" t="s">
        <v>42</v>
      </c>
      <c r="T7" t="s">
        <v>43</v>
      </c>
    </row>
    <row r="8" spans="5:23" x14ac:dyDescent="0.25">
      <c r="E8" s="1">
        <v>0</v>
      </c>
      <c r="F8" s="1">
        <v>0</v>
      </c>
      <c r="G8" s="1">
        <v>0</v>
      </c>
      <c r="H8" s="2">
        <v>0</v>
      </c>
      <c r="I8" s="1">
        <v>0</v>
      </c>
      <c r="J8" s="1">
        <v>0</v>
      </c>
      <c r="K8" s="1">
        <v>0</v>
      </c>
      <c r="O8" s="253"/>
      <c r="P8">
        <v>-1</v>
      </c>
      <c r="T8" t="s">
        <v>17</v>
      </c>
    </row>
    <row r="9" spans="5:23" x14ac:dyDescent="0.25">
      <c r="E9" s="1" t="s">
        <v>21</v>
      </c>
      <c r="F9" s="1">
        <v>0</v>
      </c>
      <c r="G9" s="1">
        <v>0</v>
      </c>
      <c r="H9" s="3">
        <v>1</v>
      </c>
      <c r="I9" s="1">
        <v>255</v>
      </c>
      <c r="J9" s="1">
        <v>0</v>
      </c>
      <c r="K9" s="1">
        <v>0</v>
      </c>
      <c r="O9" s="253"/>
      <c r="P9">
        <v>0</v>
      </c>
      <c r="T9" t="s">
        <v>18</v>
      </c>
      <c r="W9" s="251"/>
    </row>
    <row r="10" spans="5:23" x14ac:dyDescent="0.25">
      <c r="E10" s="1" t="s">
        <v>21</v>
      </c>
      <c r="F10" s="1" t="s">
        <v>21</v>
      </c>
      <c r="G10" s="1">
        <v>0</v>
      </c>
      <c r="H10" s="4">
        <v>2</v>
      </c>
      <c r="I10" s="1">
        <v>255</v>
      </c>
      <c r="J10" s="1">
        <v>255</v>
      </c>
      <c r="K10" s="1">
        <v>0</v>
      </c>
      <c r="O10" s="253"/>
      <c r="P10">
        <v>0.05</v>
      </c>
      <c r="T10" t="s">
        <v>44</v>
      </c>
    </row>
    <row r="11" spans="5:23" x14ac:dyDescent="0.25">
      <c r="E11" s="1">
        <v>0</v>
      </c>
      <c r="F11" s="1" t="s">
        <v>21</v>
      </c>
      <c r="G11" s="1">
        <v>0</v>
      </c>
      <c r="H11" s="5">
        <v>3</v>
      </c>
      <c r="I11" s="1">
        <v>0</v>
      </c>
      <c r="J11" s="1">
        <v>255</v>
      </c>
      <c r="K11" s="1">
        <v>0</v>
      </c>
      <c r="O11" s="253"/>
      <c r="P11">
        <v>0.09</v>
      </c>
    </row>
    <row r="12" spans="5:23" x14ac:dyDescent="0.25">
      <c r="E12" s="1">
        <v>0</v>
      </c>
      <c r="F12" s="1" t="s">
        <v>21</v>
      </c>
      <c r="G12" s="1" t="s">
        <v>21</v>
      </c>
      <c r="H12" s="6">
        <v>4</v>
      </c>
      <c r="I12" s="1">
        <v>0</v>
      </c>
      <c r="J12" s="1">
        <v>255</v>
      </c>
      <c r="K12" s="1">
        <v>255</v>
      </c>
      <c r="O12" s="253"/>
      <c r="P12">
        <v>0.13</v>
      </c>
    </row>
    <row r="13" spans="5:23" x14ac:dyDescent="0.25">
      <c r="E13" s="1">
        <v>0</v>
      </c>
      <c r="F13" s="1">
        <v>0</v>
      </c>
      <c r="G13" s="1" t="s">
        <v>21</v>
      </c>
      <c r="H13" s="7">
        <v>5</v>
      </c>
      <c r="I13" s="1">
        <v>0</v>
      </c>
      <c r="J13" s="1">
        <v>0</v>
      </c>
      <c r="K13" s="1">
        <v>255</v>
      </c>
      <c r="O13" s="253"/>
      <c r="P13">
        <v>0.15</v>
      </c>
    </row>
    <row r="14" spans="5:23" x14ac:dyDescent="0.25">
      <c r="E14" s="1" t="s">
        <v>21</v>
      </c>
      <c r="F14" s="1">
        <v>0</v>
      </c>
      <c r="G14" s="1" t="s">
        <v>21</v>
      </c>
      <c r="H14" s="8">
        <v>6</v>
      </c>
      <c r="I14" s="1">
        <v>255</v>
      </c>
      <c r="J14" s="1">
        <v>0</v>
      </c>
      <c r="K14" s="1">
        <v>255</v>
      </c>
      <c r="O14" s="253"/>
      <c r="P14">
        <v>0.18</v>
      </c>
    </row>
    <row r="15" spans="5:23" x14ac:dyDescent="0.25">
      <c r="E15" s="1" t="s">
        <v>21</v>
      </c>
      <c r="F15" s="1" t="s">
        <v>21</v>
      </c>
      <c r="G15" s="1" t="s">
        <v>21</v>
      </c>
      <c r="H15" s="9">
        <v>7</v>
      </c>
      <c r="I15" s="1">
        <v>255</v>
      </c>
      <c r="J15" s="1">
        <v>255</v>
      </c>
      <c r="K15" s="1">
        <v>255</v>
      </c>
      <c r="O15" s="253"/>
      <c r="P15">
        <v>0.2</v>
      </c>
    </row>
    <row r="16" spans="5:23" x14ac:dyDescent="0.25">
      <c r="E16" s="1">
        <v>41</v>
      </c>
      <c r="F16" s="1">
        <v>41</v>
      </c>
      <c r="G16" s="1">
        <v>41</v>
      </c>
      <c r="H16" s="10">
        <v>8</v>
      </c>
      <c r="I16" s="1">
        <v>65</v>
      </c>
      <c r="J16" s="1">
        <v>65</v>
      </c>
      <c r="K16" s="1">
        <v>65</v>
      </c>
      <c r="O16" s="253"/>
      <c r="P16">
        <v>0.25</v>
      </c>
    </row>
    <row r="17" spans="5:16" x14ac:dyDescent="0.25">
      <c r="E17" s="1">
        <v>80</v>
      </c>
      <c r="F17" s="1">
        <v>80</v>
      </c>
      <c r="G17" s="1">
        <v>80</v>
      </c>
      <c r="H17" s="11">
        <v>9</v>
      </c>
      <c r="I17" s="1">
        <v>128</v>
      </c>
      <c r="J17" s="1">
        <v>128</v>
      </c>
      <c r="K17" s="1">
        <v>128</v>
      </c>
      <c r="O17" s="253"/>
      <c r="P17">
        <v>0.3</v>
      </c>
    </row>
    <row r="18" spans="5:16" x14ac:dyDescent="0.25">
      <c r="E18" s="1" t="s">
        <v>21</v>
      </c>
      <c r="F18" s="1">
        <v>0</v>
      </c>
      <c r="G18" s="1">
        <v>0</v>
      </c>
      <c r="H18" s="3">
        <v>10</v>
      </c>
      <c r="I18" s="1">
        <v>255</v>
      </c>
      <c r="J18" s="1">
        <v>0</v>
      </c>
      <c r="K18" s="1">
        <v>0</v>
      </c>
      <c r="O18" s="253"/>
      <c r="P18">
        <v>0.35</v>
      </c>
    </row>
    <row r="19" spans="5:16" x14ac:dyDescent="0.25">
      <c r="E19" s="1" t="s">
        <v>21</v>
      </c>
      <c r="F19" s="1" t="s">
        <v>22</v>
      </c>
      <c r="G19" s="1" t="s">
        <v>22</v>
      </c>
      <c r="H19" s="12">
        <v>11</v>
      </c>
      <c r="I19" s="1">
        <v>255</v>
      </c>
      <c r="J19" s="1">
        <v>170</v>
      </c>
      <c r="K19" s="1">
        <v>170</v>
      </c>
      <c r="O19" s="253"/>
      <c r="P19">
        <v>0.4</v>
      </c>
    </row>
    <row r="20" spans="5:16" x14ac:dyDescent="0.25">
      <c r="E20" s="1" t="s">
        <v>23</v>
      </c>
      <c r="F20" s="1">
        <v>0</v>
      </c>
      <c r="G20" s="1">
        <v>0</v>
      </c>
      <c r="H20" s="13">
        <v>12</v>
      </c>
      <c r="I20" s="1">
        <v>189</v>
      </c>
      <c r="J20" s="1">
        <v>0</v>
      </c>
      <c r="K20" s="1">
        <v>0</v>
      </c>
      <c r="O20" s="253"/>
      <c r="P20">
        <v>0.5</v>
      </c>
    </row>
    <row r="21" spans="5:16" x14ac:dyDescent="0.25">
      <c r="E21" s="1" t="s">
        <v>23</v>
      </c>
      <c r="F21" s="1" t="s">
        <v>24</v>
      </c>
      <c r="G21" s="1" t="s">
        <v>24</v>
      </c>
      <c r="H21" s="14">
        <v>13</v>
      </c>
      <c r="I21" s="1">
        <v>189</v>
      </c>
      <c r="J21" s="1">
        <v>126</v>
      </c>
      <c r="K21" s="1">
        <v>126</v>
      </c>
      <c r="O21" s="253"/>
      <c r="P21">
        <v>0.53</v>
      </c>
    </row>
    <row r="22" spans="5:16" x14ac:dyDescent="0.25">
      <c r="E22" s="1">
        <v>81</v>
      </c>
      <c r="F22" s="1">
        <v>0</v>
      </c>
      <c r="G22" s="1">
        <v>0</v>
      </c>
      <c r="H22" s="15">
        <v>14</v>
      </c>
      <c r="I22" s="1">
        <v>129</v>
      </c>
      <c r="J22" s="1">
        <v>0</v>
      </c>
      <c r="K22" s="1">
        <v>0</v>
      </c>
      <c r="O22" s="253"/>
      <c r="P22">
        <v>0.6</v>
      </c>
    </row>
    <row r="23" spans="5:16" x14ac:dyDescent="0.25">
      <c r="E23" s="1">
        <v>81</v>
      </c>
      <c r="F23" s="1">
        <v>56</v>
      </c>
      <c r="G23" s="1">
        <v>56</v>
      </c>
      <c r="H23" s="16">
        <v>15</v>
      </c>
      <c r="I23" s="1">
        <v>129</v>
      </c>
      <c r="J23" s="1">
        <v>86</v>
      </c>
      <c r="K23" s="1">
        <v>86</v>
      </c>
      <c r="O23" s="253"/>
      <c r="P23">
        <v>0.7</v>
      </c>
    </row>
    <row r="24" spans="5:16" x14ac:dyDescent="0.25">
      <c r="E24" s="1">
        <v>68</v>
      </c>
      <c r="F24" s="1">
        <v>0</v>
      </c>
      <c r="G24" s="1">
        <v>0</v>
      </c>
      <c r="H24" s="17">
        <v>16</v>
      </c>
      <c r="I24" s="1">
        <v>104</v>
      </c>
      <c r="J24" s="1">
        <v>0</v>
      </c>
      <c r="K24" s="1">
        <v>0</v>
      </c>
      <c r="O24" s="253"/>
      <c r="P24">
        <v>0.8</v>
      </c>
    </row>
    <row r="25" spans="5:16" x14ac:dyDescent="0.25">
      <c r="E25" s="1">
        <v>68</v>
      </c>
      <c r="F25" s="1">
        <v>45</v>
      </c>
      <c r="G25" s="1">
        <v>45</v>
      </c>
      <c r="H25" s="18">
        <v>17</v>
      </c>
      <c r="I25" s="1">
        <v>104</v>
      </c>
      <c r="J25" s="1">
        <v>69</v>
      </c>
      <c r="K25" s="1">
        <v>69</v>
      </c>
      <c r="O25" s="253"/>
      <c r="P25">
        <v>0.9</v>
      </c>
    </row>
    <row r="26" spans="5:16" x14ac:dyDescent="0.25">
      <c r="E26" s="1" t="s">
        <v>25</v>
      </c>
      <c r="F26" s="1">
        <v>0</v>
      </c>
      <c r="G26" s="1">
        <v>0</v>
      </c>
      <c r="H26" s="19">
        <v>18</v>
      </c>
      <c r="I26" s="1">
        <v>79</v>
      </c>
      <c r="J26" s="1">
        <v>0</v>
      </c>
      <c r="K26" s="1">
        <v>0</v>
      </c>
      <c r="O26" s="253"/>
      <c r="P26">
        <v>1</v>
      </c>
    </row>
    <row r="27" spans="5:16" x14ac:dyDescent="0.25">
      <c r="E27" s="1" t="s">
        <v>25</v>
      </c>
      <c r="F27" s="1">
        <v>35</v>
      </c>
      <c r="G27" s="1">
        <v>35</v>
      </c>
      <c r="H27" s="20">
        <v>19</v>
      </c>
      <c r="I27" s="1">
        <v>79</v>
      </c>
      <c r="J27" s="1">
        <v>53</v>
      </c>
      <c r="K27" s="1">
        <v>53</v>
      </c>
      <c r="O27" s="253"/>
      <c r="P27">
        <v>1.06</v>
      </c>
    </row>
    <row r="28" spans="5:16" x14ac:dyDescent="0.25">
      <c r="E28" s="1" t="s">
        <v>21</v>
      </c>
      <c r="F28" s="1" t="s">
        <v>26</v>
      </c>
      <c r="G28" s="1">
        <v>0</v>
      </c>
      <c r="H28" s="21">
        <v>20</v>
      </c>
      <c r="I28" s="1">
        <v>255</v>
      </c>
      <c r="J28" s="1">
        <v>63</v>
      </c>
      <c r="K28" s="1">
        <v>0</v>
      </c>
      <c r="O28" s="253"/>
      <c r="P28">
        <v>1.2</v>
      </c>
    </row>
    <row r="29" spans="5:16" ht="15.75" x14ac:dyDescent="0.3">
      <c r="E29" s="1" t="s">
        <v>21</v>
      </c>
      <c r="F29" s="1" t="s">
        <v>27</v>
      </c>
      <c r="G29" s="1" t="s">
        <v>22</v>
      </c>
      <c r="H29" s="22">
        <v>21</v>
      </c>
      <c r="I29" s="1">
        <v>255</v>
      </c>
      <c r="J29" s="1">
        <v>191</v>
      </c>
      <c r="K29" s="1">
        <v>170</v>
      </c>
      <c r="O29" s="253"/>
      <c r="P29" s="252">
        <v>1.4</v>
      </c>
    </row>
    <row r="30" spans="5:16" x14ac:dyDescent="0.25">
      <c r="E30" s="1" t="s">
        <v>23</v>
      </c>
      <c r="F30" s="1" t="s">
        <v>28</v>
      </c>
      <c r="G30" s="1">
        <v>0</v>
      </c>
      <c r="H30" s="23">
        <v>22</v>
      </c>
      <c r="I30" s="1">
        <v>189</v>
      </c>
      <c r="J30" s="1">
        <v>46</v>
      </c>
      <c r="K30" s="1">
        <v>0</v>
      </c>
      <c r="O30" s="253"/>
      <c r="P30">
        <v>1.58</v>
      </c>
    </row>
    <row r="31" spans="5:16" x14ac:dyDescent="0.25">
      <c r="E31" s="1" t="s">
        <v>23</v>
      </c>
      <c r="F31" s="1" t="s">
        <v>29</v>
      </c>
      <c r="G31" s="1" t="s">
        <v>24</v>
      </c>
      <c r="H31" s="24">
        <v>23</v>
      </c>
      <c r="I31" s="1">
        <v>189</v>
      </c>
      <c r="J31" s="1">
        <v>141</v>
      </c>
      <c r="K31" s="1">
        <v>126</v>
      </c>
      <c r="O31" s="253"/>
      <c r="P31">
        <v>2</v>
      </c>
    </row>
    <row r="32" spans="5:16" x14ac:dyDescent="0.25">
      <c r="E32" s="1">
        <v>81</v>
      </c>
      <c r="F32" s="1" t="s">
        <v>30</v>
      </c>
      <c r="G32" s="1">
        <v>0</v>
      </c>
      <c r="H32" s="25">
        <v>24</v>
      </c>
      <c r="I32" s="1">
        <v>129</v>
      </c>
      <c r="J32" s="1">
        <v>31</v>
      </c>
      <c r="K32" s="1">
        <v>0</v>
      </c>
      <c r="O32" s="253"/>
      <c r="P32">
        <v>2.11</v>
      </c>
    </row>
    <row r="33" spans="5:28" x14ac:dyDescent="0.25">
      <c r="E33" s="1">
        <v>81</v>
      </c>
      <c r="F33" s="1">
        <v>60</v>
      </c>
      <c r="G33" s="1">
        <v>56</v>
      </c>
      <c r="H33" s="26">
        <v>25</v>
      </c>
      <c r="I33" s="1">
        <v>129</v>
      </c>
      <c r="J33" s="1">
        <v>96</v>
      </c>
      <c r="K33" s="1">
        <v>86</v>
      </c>
      <c r="O33" s="253"/>
    </row>
    <row r="34" spans="5:28" x14ac:dyDescent="0.25">
      <c r="E34" s="1">
        <v>68</v>
      </c>
      <c r="F34" s="1">
        <v>19</v>
      </c>
      <c r="G34" s="1">
        <v>0</v>
      </c>
      <c r="H34" s="27">
        <v>26</v>
      </c>
      <c r="I34" s="1">
        <v>104</v>
      </c>
      <c r="J34" s="1">
        <v>25</v>
      </c>
      <c r="K34" s="1">
        <v>0</v>
      </c>
      <c r="O34" s="253"/>
    </row>
    <row r="35" spans="5:28" x14ac:dyDescent="0.25">
      <c r="E35" s="1">
        <v>68</v>
      </c>
      <c r="F35" s="1" t="s">
        <v>31</v>
      </c>
      <c r="G35" s="1">
        <v>45</v>
      </c>
      <c r="H35" s="28">
        <v>27</v>
      </c>
      <c r="I35" s="1">
        <v>104</v>
      </c>
      <c r="J35" s="1">
        <v>78</v>
      </c>
      <c r="K35" s="1">
        <v>69</v>
      </c>
      <c r="O35" s="253"/>
    </row>
    <row r="36" spans="5:28" x14ac:dyDescent="0.25">
      <c r="E36" s="1" t="s">
        <v>25</v>
      </c>
      <c r="F36" s="1">
        <v>13</v>
      </c>
      <c r="G36" s="1">
        <v>0</v>
      </c>
      <c r="H36" s="29">
        <v>28</v>
      </c>
      <c r="I36" s="1">
        <v>79</v>
      </c>
      <c r="J36" s="1">
        <v>19</v>
      </c>
      <c r="K36" s="1">
        <v>0</v>
      </c>
      <c r="O36" s="253"/>
    </row>
    <row r="37" spans="5:28" x14ac:dyDescent="0.25">
      <c r="E37" s="1" t="s">
        <v>25</v>
      </c>
      <c r="F37" s="1" t="s">
        <v>32</v>
      </c>
      <c r="G37" s="1">
        <v>35</v>
      </c>
      <c r="H37" s="30">
        <v>29</v>
      </c>
      <c r="I37" s="1">
        <v>79</v>
      </c>
      <c r="J37" s="1">
        <v>59</v>
      </c>
      <c r="K37" s="1">
        <v>53</v>
      </c>
      <c r="O37" s="253"/>
    </row>
    <row r="38" spans="5:28" x14ac:dyDescent="0.25">
      <c r="E38" s="1" t="s">
        <v>21</v>
      </c>
      <c r="F38" s="1" t="s">
        <v>33</v>
      </c>
      <c r="G38" s="1">
        <v>0</v>
      </c>
      <c r="H38" s="31">
        <v>30</v>
      </c>
      <c r="I38" s="1">
        <v>255</v>
      </c>
      <c r="J38" s="1">
        <v>127</v>
      </c>
      <c r="K38" s="1">
        <v>0</v>
      </c>
      <c r="O38" s="253"/>
    </row>
    <row r="39" spans="5:28" x14ac:dyDescent="0.25">
      <c r="E39" s="1" t="s">
        <v>21</v>
      </c>
      <c r="F39" s="1" t="s">
        <v>34</v>
      </c>
      <c r="G39" s="1" t="s">
        <v>22</v>
      </c>
      <c r="H39" s="32">
        <v>31</v>
      </c>
      <c r="I39" s="1">
        <v>255</v>
      </c>
      <c r="J39" s="1">
        <v>212</v>
      </c>
      <c r="K39" s="1">
        <v>170</v>
      </c>
      <c r="O39" s="253"/>
    </row>
    <row r="40" spans="5:28" x14ac:dyDescent="0.25">
      <c r="E40" s="1" t="s">
        <v>23</v>
      </c>
      <c r="F40" s="1" t="s">
        <v>35</v>
      </c>
      <c r="G40" s="1">
        <v>0</v>
      </c>
      <c r="H40" s="33">
        <v>32</v>
      </c>
      <c r="I40" s="1">
        <v>189</v>
      </c>
      <c r="J40" s="1">
        <v>94</v>
      </c>
      <c r="K40" s="1">
        <v>0</v>
      </c>
      <c r="O40" s="253"/>
      <c r="Y40" s="256"/>
      <c r="Z40" s="256"/>
      <c r="AA40" s="256"/>
      <c r="AB40" s="256"/>
    </row>
    <row r="41" spans="5:28" x14ac:dyDescent="0.25">
      <c r="E41" s="1" t="s">
        <v>23</v>
      </c>
      <c r="F41" s="1" t="s">
        <v>36</v>
      </c>
      <c r="G41" s="1" t="s">
        <v>24</v>
      </c>
      <c r="H41" s="34">
        <v>33</v>
      </c>
      <c r="I41" s="1">
        <v>189</v>
      </c>
      <c r="J41" s="1">
        <v>157</v>
      </c>
      <c r="K41" s="1">
        <v>126</v>
      </c>
      <c r="O41" s="253"/>
      <c r="Y41" s="256"/>
      <c r="Z41" s="256"/>
      <c r="AA41" s="256"/>
      <c r="AB41" s="256"/>
    </row>
    <row r="42" spans="5:28" x14ac:dyDescent="0.25">
      <c r="E42" s="1">
        <v>81</v>
      </c>
      <c r="F42" s="1">
        <v>40</v>
      </c>
      <c r="G42" s="1">
        <v>0</v>
      </c>
      <c r="H42" s="35">
        <v>34</v>
      </c>
      <c r="I42" s="1">
        <v>129</v>
      </c>
      <c r="J42" s="1">
        <v>64</v>
      </c>
      <c r="K42" s="1">
        <v>0</v>
      </c>
      <c r="O42" s="253"/>
      <c r="Y42" s="256"/>
      <c r="Z42" s="256"/>
      <c r="AA42" s="256"/>
      <c r="AB42" s="256"/>
    </row>
    <row r="43" spans="5:28" x14ac:dyDescent="0.25">
      <c r="E43" s="1">
        <v>81</v>
      </c>
      <c r="F43" s="1" t="s">
        <v>37</v>
      </c>
      <c r="G43" s="1">
        <v>56</v>
      </c>
      <c r="H43" s="36">
        <v>35</v>
      </c>
      <c r="I43" s="1">
        <v>129</v>
      </c>
      <c r="J43" s="1">
        <v>107</v>
      </c>
      <c r="K43" s="1">
        <v>86</v>
      </c>
      <c r="O43" s="253"/>
      <c r="Y43" s="256"/>
      <c r="Z43" s="256"/>
      <c r="AA43" s="256"/>
      <c r="AB43" s="256"/>
    </row>
    <row r="44" spans="5:28" x14ac:dyDescent="0.25">
      <c r="E44" s="1">
        <v>68</v>
      </c>
      <c r="F44" s="1">
        <v>34</v>
      </c>
      <c r="G44" s="1">
        <v>0</v>
      </c>
      <c r="H44" s="37">
        <v>36</v>
      </c>
      <c r="I44" s="1">
        <v>104</v>
      </c>
      <c r="J44" s="1">
        <v>52</v>
      </c>
      <c r="K44" s="1">
        <v>0</v>
      </c>
      <c r="O44" s="253"/>
      <c r="Y44" s="256"/>
      <c r="Z44" s="256"/>
      <c r="AA44" s="256"/>
      <c r="AB44" s="256"/>
    </row>
    <row r="45" spans="5:28" x14ac:dyDescent="0.25">
      <c r="E45" s="1">
        <v>68</v>
      </c>
      <c r="F45" s="1">
        <v>56</v>
      </c>
      <c r="G45" s="1">
        <v>45</v>
      </c>
      <c r="H45" s="38">
        <v>37</v>
      </c>
      <c r="I45" s="1">
        <v>104</v>
      </c>
      <c r="J45" s="1">
        <v>86</v>
      </c>
      <c r="K45" s="1">
        <v>69</v>
      </c>
      <c r="O45" s="253"/>
      <c r="Y45" s="256"/>
      <c r="Z45" s="256"/>
      <c r="AA45" s="256"/>
      <c r="AB45" s="256"/>
    </row>
    <row r="46" spans="5:28" x14ac:dyDescent="0.25">
      <c r="E46" s="1" t="s">
        <v>25</v>
      </c>
      <c r="F46" s="1">
        <v>27</v>
      </c>
      <c r="G46" s="1">
        <v>0</v>
      </c>
      <c r="H46" s="39">
        <v>38</v>
      </c>
      <c r="I46" s="1">
        <v>79</v>
      </c>
      <c r="J46" s="1">
        <v>39</v>
      </c>
      <c r="K46" s="1">
        <v>0</v>
      </c>
      <c r="O46" s="253"/>
      <c r="Y46" s="256"/>
      <c r="Z46" s="256"/>
      <c r="AA46" s="256"/>
      <c r="AB46" s="256"/>
    </row>
    <row r="47" spans="5:28" x14ac:dyDescent="0.25">
      <c r="E47" s="1" t="s">
        <v>25</v>
      </c>
      <c r="F47" s="1">
        <v>42</v>
      </c>
      <c r="G47" s="1">
        <v>35</v>
      </c>
      <c r="H47" s="40">
        <v>39</v>
      </c>
      <c r="I47" s="1">
        <v>79</v>
      </c>
      <c r="J47" s="1">
        <v>66</v>
      </c>
      <c r="K47" s="1">
        <v>53</v>
      </c>
      <c r="O47" s="253"/>
      <c r="Y47" s="256"/>
      <c r="Z47" s="256"/>
      <c r="AA47" s="256"/>
      <c r="AB47" s="256"/>
    </row>
    <row r="48" spans="5:28" x14ac:dyDescent="0.25">
      <c r="E48" s="1" t="s">
        <v>21</v>
      </c>
      <c r="F48" s="1" t="s">
        <v>27</v>
      </c>
      <c r="G48" s="1">
        <v>0</v>
      </c>
      <c r="H48" s="41">
        <v>40</v>
      </c>
      <c r="I48" s="1">
        <v>255</v>
      </c>
      <c r="J48" s="1">
        <v>191</v>
      </c>
      <c r="K48" s="1">
        <v>0</v>
      </c>
      <c r="O48" s="253"/>
      <c r="Y48" s="256"/>
      <c r="Z48" s="256"/>
      <c r="AA48" s="256"/>
      <c r="AB48" s="256"/>
    </row>
    <row r="49" spans="5:28" x14ac:dyDescent="0.25">
      <c r="E49" s="1" t="s">
        <v>21</v>
      </c>
      <c r="F49" s="1" t="s">
        <v>38</v>
      </c>
      <c r="G49" s="1" t="s">
        <v>22</v>
      </c>
      <c r="H49" s="42">
        <v>41</v>
      </c>
      <c r="I49" s="1">
        <v>255</v>
      </c>
      <c r="J49" s="1">
        <v>234</v>
      </c>
      <c r="K49" s="1">
        <v>170</v>
      </c>
      <c r="O49" s="253"/>
      <c r="Y49" s="256"/>
      <c r="Z49" s="256"/>
      <c r="AA49" s="256"/>
      <c r="AB49" s="256"/>
    </row>
    <row r="50" spans="5:28" x14ac:dyDescent="0.25">
      <c r="E50" s="1" t="s">
        <v>23</v>
      </c>
      <c r="F50" s="1" t="s">
        <v>29</v>
      </c>
      <c r="G50" s="1">
        <v>0</v>
      </c>
      <c r="H50" s="43">
        <v>42</v>
      </c>
      <c r="I50" s="1">
        <v>189</v>
      </c>
      <c r="J50" s="1">
        <v>141</v>
      </c>
      <c r="K50" s="1">
        <v>0</v>
      </c>
      <c r="O50" s="253"/>
      <c r="Y50" s="256"/>
      <c r="Z50" s="256"/>
      <c r="AA50" s="256"/>
      <c r="AB50" s="256"/>
    </row>
    <row r="51" spans="5:28" x14ac:dyDescent="0.25">
      <c r="E51" s="1" t="s">
        <v>23</v>
      </c>
      <c r="F51" s="1" t="s">
        <v>39</v>
      </c>
      <c r="G51" s="1" t="s">
        <v>24</v>
      </c>
      <c r="H51" s="44">
        <v>43</v>
      </c>
      <c r="I51" s="1">
        <v>189</v>
      </c>
      <c r="J51" s="1">
        <v>173</v>
      </c>
      <c r="K51" s="1">
        <v>126</v>
      </c>
      <c r="O51" s="253"/>
      <c r="Y51" s="256"/>
      <c r="Z51" s="256"/>
      <c r="AA51" s="256"/>
      <c r="AB51" s="256"/>
    </row>
    <row r="52" spans="5:28" x14ac:dyDescent="0.25">
      <c r="E52" s="1">
        <v>81</v>
      </c>
      <c r="F52" s="1">
        <v>60</v>
      </c>
      <c r="G52" s="1">
        <v>0</v>
      </c>
      <c r="H52" s="45">
        <v>44</v>
      </c>
      <c r="I52" s="1">
        <v>129</v>
      </c>
      <c r="J52" s="1">
        <v>96</v>
      </c>
      <c r="K52" s="1">
        <v>0</v>
      </c>
      <c r="O52" s="253"/>
      <c r="Y52" s="256"/>
      <c r="Z52" s="256"/>
      <c r="AA52" s="256"/>
      <c r="AB52" s="256"/>
    </row>
    <row r="53" spans="5:28" x14ac:dyDescent="0.25">
      <c r="E53" s="1">
        <v>81</v>
      </c>
      <c r="F53" s="1">
        <v>76</v>
      </c>
      <c r="G53" s="1">
        <v>56</v>
      </c>
      <c r="H53" s="46">
        <v>45</v>
      </c>
      <c r="I53" s="1">
        <v>129</v>
      </c>
      <c r="J53" s="1">
        <v>118</v>
      </c>
      <c r="K53" s="1">
        <v>86</v>
      </c>
      <c r="O53" s="253"/>
      <c r="Y53" s="256"/>
      <c r="Z53" s="256"/>
      <c r="AA53" s="256"/>
      <c r="AB53" s="256"/>
    </row>
    <row r="54" spans="5:28" x14ac:dyDescent="0.25">
      <c r="E54" s="1">
        <v>68</v>
      </c>
      <c r="F54" s="1" t="s">
        <v>31</v>
      </c>
      <c r="G54" s="1">
        <v>0</v>
      </c>
      <c r="H54" s="47">
        <v>46</v>
      </c>
      <c r="I54" s="1">
        <v>104</v>
      </c>
      <c r="J54" s="1">
        <v>78</v>
      </c>
      <c r="K54" s="1">
        <v>0</v>
      </c>
      <c r="O54" s="253"/>
      <c r="Y54" s="256"/>
      <c r="Z54" s="256"/>
      <c r="AA54" s="256"/>
      <c r="AB54" s="256"/>
    </row>
    <row r="55" spans="5:28" x14ac:dyDescent="0.25">
      <c r="E55" s="1">
        <v>68</v>
      </c>
      <c r="F55" s="1" t="s">
        <v>40</v>
      </c>
      <c r="G55" s="1">
        <v>45</v>
      </c>
      <c r="H55" s="48">
        <v>47</v>
      </c>
      <c r="I55" s="1">
        <v>104</v>
      </c>
      <c r="J55" s="1">
        <v>95</v>
      </c>
      <c r="K55" s="1">
        <v>69</v>
      </c>
      <c r="O55" s="253"/>
      <c r="Y55" s="256"/>
      <c r="Z55" s="256"/>
      <c r="AA55" s="256"/>
      <c r="AB55" s="256"/>
    </row>
    <row r="56" spans="5:28" x14ac:dyDescent="0.25">
      <c r="E56" s="1" t="s">
        <v>25</v>
      </c>
      <c r="F56" s="1" t="s">
        <v>32</v>
      </c>
      <c r="G56" s="1">
        <v>0</v>
      </c>
      <c r="H56" s="49">
        <v>48</v>
      </c>
      <c r="I56" s="1">
        <v>79</v>
      </c>
      <c r="J56" s="1">
        <v>59</v>
      </c>
      <c r="K56" s="1">
        <v>0</v>
      </c>
      <c r="O56" s="253"/>
      <c r="Y56" s="256"/>
      <c r="Z56" s="256"/>
      <c r="AA56" s="256"/>
      <c r="AB56" s="256"/>
    </row>
    <row r="57" spans="5:28" x14ac:dyDescent="0.25">
      <c r="E57" s="1" t="s">
        <v>25</v>
      </c>
      <c r="F57" s="1">
        <v>49</v>
      </c>
      <c r="G57" s="1">
        <v>35</v>
      </c>
      <c r="H57" s="50">
        <v>49</v>
      </c>
      <c r="I57" s="1">
        <v>79</v>
      </c>
      <c r="J57" s="1">
        <v>73</v>
      </c>
      <c r="K57" s="1">
        <v>53</v>
      </c>
      <c r="O57" s="253"/>
      <c r="Y57" s="256"/>
      <c r="Z57" s="256"/>
      <c r="AA57" s="256"/>
      <c r="AB57" s="256"/>
    </row>
    <row r="58" spans="5:28" x14ac:dyDescent="0.25">
      <c r="E58" s="1" t="s">
        <v>21</v>
      </c>
      <c r="F58" s="1" t="s">
        <v>21</v>
      </c>
      <c r="G58" s="1">
        <v>0</v>
      </c>
      <c r="H58" s="4">
        <v>50</v>
      </c>
      <c r="I58" s="1">
        <v>255</v>
      </c>
      <c r="J58" s="1">
        <v>255</v>
      </c>
      <c r="K58" s="1">
        <v>0</v>
      </c>
      <c r="O58" s="253"/>
      <c r="Y58" s="256"/>
      <c r="Z58" s="256"/>
      <c r="AA58" s="256"/>
      <c r="AB58" s="256"/>
    </row>
    <row r="59" spans="5:28" x14ac:dyDescent="0.25">
      <c r="E59" s="1" t="s">
        <v>21</v>
      </c>
      <c r="F59" s="1" t="s">
        <v>21</v>
      </c>
      <c r="G59" s="1" t="s">
        <v>22</v>
      </c>
      <c r="H59" s="51">
        <v>51</v>
      </c>
      <c r="I59" s="1">
        <v>255</v>
      </c>
      <c r="J59" s="1">
        <v>255</v>
      </c>
      <c r="K59" s="1">
        <v>170</v>
      </c>
      <c r="O59" s="253"/>
      <c r="Y59" s="256"/>
      <c r="Z59" s="256"/>
      <c r="AA59" s="256"/>
      <c r="AB59" s="256"/>
    </row>
    <row r="60" spans="5:28" x14ac:dyDescent="0.25">
      <c r="E60" s="1" t="s">
        <v>23</v>
      </c>
      <c r="F60" s="1" t="s">
        <v>23</v>
      </c>
      <c r="G60" s="1">
        <v>0</v>
      </c>
      <c r="H60" s="52">
        <v>52</v>
      </c>
      <c r="I60" s="1">
        <v>189</v>
      </c>
      <c r="J60" s="1">
        <v>189</v>
      </c>
      <c r="K60" s="1">
        <v>0</v>
      </c>
      <c r="O60" s="253"/>
      <c r="Y60" s="256"/>
      <c r="Z60" s="256"/>
      <c r="AA60" s="256"/>
      <c r="AB60" s="256"/>
    </row>
    <row r="61" spans="5:28" x14ac:dyDescent="0.25">
      <c r="E61" s="1" t="s">
        <v>23</v>
      </c>
      <c r="F61" s="1" t="s">
        <v>23</v>
      </c>
      <c r="G61" s="1" t="s">
        <v>24</v>
      </c>
      <c r="H61" s="53">
        <v>53</v>
      </c>
      <c r="I61" s="1">
        <v>189</v>
      </c>
      <c r="J61" s="1">
        <v>189</v>
      </c>
      <c r="K61" s="1">
        <v>126</v>
      </c>
      <c r="O61" s="253"/>
      <c r="Y61" s="256"/>
      <c r="Z61" s="256"/>
      <c r="AA61" s="256"/>
      <c r="AB61" s="256"/>
    </row>
    <row r="62" spans="5:28" x14ac:dyDescent="0.25">
      <c r="E62" s="1">
        <v>81</v>
      </c>
      <c r="F62" s="1">
        <v>81</v>
      </c>
      <c r="G62" s="1">
        <v>0</v>
      </c>
      <c r="H62" s="54">
        <v>54</v>
      </c>
      <c r="I62" s="1">
        <v>129</v>
      </c>
      <c r="J62" s="1">
        <v>129</v>
      </c>
      <c r="K62" s="1">
        <v>0</v>
      </c>
      <c r="O62" s="253"/>
      <c r="Y62" s="256"/>
      <c r="Z62" s="256"/>
      <c r="AA62" s="256"/>
      <c r="AB62" s="256"/>
    </row>
    <row r="63" spans="5:28" x14ac:dyDescent="0.25">
      <c r="E63" s="1">
        <v>81</v>
      </c>
      <c r="F63" s="1">
        <v>81</v>
      </c>
      <c r="G63" s="1">
        <v>56</v>
      </c>
      <c r="H63" s="55">
        <v>55</v>
      </c>
      <c r="I63" s="1">
        <v>129</v>
      </c>
      <c r="J63" s="1">
        <v>129</v>
      </c>
      <c r="K63" s="1">
        <v>86</v>
      </c>
      <c r="O63" s="253"/>
      <c r="Y63" s="256"/>
      <c r="Z63" s="256"/>
      <c r="AA63" s="256"/>
      <c r="AB63" s="256"/>
    </row>
    <row r="64" spans="5:28" x14ac:dyDescent="0.25">
      <c r="E64" s="1">
        <v>68</v>
      </c>
      <c r="F64" s="1">
        <v>68</v>
      </c>
      <c r="G64" s="1">
        <v>0</v>
      </c>
      <c r="H64" s="56">
        <v>56</v>
      </c>
      <c r="I64" s="1">
        <v>104</v>
      </c>
      <c r="J64" s="1">
        <v>104</v>
      </c>
      <c r="K64" s="1">
        <v>0</v>
      </c>
      <c r="O64" s="253"/>
      <c r="Y64" s="256"/>
      <c r="Z64" s="256"/>
      <c r="AA64" s="256"/>
      <c r="AB64" s="256"/>
    </row>
    <row r="65" spans="5:31" x14ac:dyDescent="0.25">
      <c r="E65" s="1">
        <v>68</v>
      </c>
      <c r="F65" s="1">
        <v>68</v>
      </c>
      <c r="G65" s="1">
        <v>45</v>
      </c>
      <c r="H65" s="57">
        <v>57</v>
      </c>
      <c r="I65" s="1">
        <v>104</v>
      </c>
      <c r="J65" s="1">
        <v>104</v>
      </c>
      <c r="K65" s="1">
        <v>69</v>
      </c>
      <c r="O65" s="253"/>
    </row>
    <row r="66" spans="5:31" x14ac:dyDescent="0.25">
      <c r="E66" s="1" t="s">
        <v>25</v>
      </c>
      <c r="F66" s="1" t="s">
        <v>25</v>
      </c>
      <c r="G66" s="1">
        <v>0</v>
      </c>
      <c r="H66" s="58">
        <v>58</v>
      </c>
      <c r="I66" s="1">
        <v>79</v>
      </c>
      <c r="J66" s="1">
        <v>79</v>
      </c>
      <c r="K66" s="1">
        <v>0</v>
      </c>
      <c r="O66" s="253"/>
    </row>
    <row r="67" spans="5:31" x14ac:dyDescent="0.25">
      <c r="E67" s="1" t="s">
        <v>25</v>
      </c>
      <c r="F67" s="1" t="s">
        <v>25</v>
      </c>
      <c r="G67" s="1">
        <v>35</v>
      </c>
      <c r="H67" s="59">
        <v>59</v>
      </c>
      <c r="I67" s="1">
        <v>79</v>
      </c>
      <c r="J67" s="1">
        <v>79</v>
      </c>
      <c r="K67" s="1">
        <v>53</v>
      </c>
      <c r="O67" s="253"/>
    </row>
    <row r="68" spans="5:31" x14ac:dyDescent="0.25">
      <c r="E68" s="1" t="s">
        <v>27</v>
      </c>
      <c r="F68" s="1" t="s">
        <v>21</v>
      </c>
      <c r="G68" s="1">
        <v>0</v>
      </c>
      <c r="H68" s="60">
        <v>60</v>
      </c>
      <c r="I68" s="1">
        <v>191</v>
      </c>
      <c r="J68" s="1">
        <v>255</v>
      </c>
      <c r="K68" s="1">
        <v>0</v>
      </c>
      <c r="O68" s="253"/>
    </row>
    <row r="69" spans="5:31" x14ac:dyDescent="0.25">
      <c r="E69" s="1" t="s">
        <v>38</v>
      </c>
      <c r="F69" s="1" t="s">
        <v>21</v>
      </c>
      <c r="G69" s="1" t="s">
        <v>22</v>
      </c>
      <c r="H69" s="61">
        <v>61</v>
      </c>
      <c r="I69" s="1">
        <v>234</v>
      </c>
      <c r="J69" s="1">
        <v>255</v>
      </c>
      <c r="K69" s="1">
        <v>170</v>
      </c>
      <c r="O69" s="253"/>
    </row>
    <row r="70" spans="5:31" x14ac:dyDescent="0.25">
      <c r="E70" s="1" t="s">
        <v>29</v>
      </c>
      <c r="F70" s="1" t="s">
        <v>23</v>
      </c>
      <c r="G70" s="1">
        <v>0</v>
      </c>
      <c r="H70" s="62">
        <v>62</v>
      </c>
      <c r="I70" s="1">
        <v>141</v>
      </c>
      <c r="J70" s="1">
        <v>189</v>
      </c>
      <c r="K70" s="1">
        <v>0</v>
      </c>
      <c r="O70" s="253"/>
    </row>
    <row r="71" spans="5:31" x14ac:dyDescent="0.25">
      <c r="E71" s="1" t="s">
        <v>39</v>
      </c>
      <c r="F71" s="1" t="s">
        <v>23</v>
      </c>
      <c r="G71" s="1" t="s">
        <v>24</v>
      </c>
      <c r="H71" s="63">
        <v>63</v>
      </c>
      <c r="I71" s="1">
        <v>173</v>
      </c>
      <c r="J71" s="1">
        <v>189</v>
      </c>
      <c r="K71" s="1">
        <v>126</v>
      </c>
      <c r="O71" s="253"/>
    </row>
    <row r="72" spans="5:31" x14ac:dyDescent="0.25">
      <c r="E72" s="1">
        <v>60</v>
      </c>
      <c r="F72" s="1">
        <v>81</v>
      </c>
      <c r="G72" s="1">
        <v>0</v>
      </c>
      <c r="H72" s="64">
        <v>64</v>
      </c>
      <c r="I72" s="1">
        <v>96</v>
      </c>
      <c r="J72" s="1">
        <v>129</v>
      </c>
      <c r="K72" s="1">
        <v>0</v>
      </c>
      <c r="O72" s="253"/>
    </row>
    <row r="73" spans="5:31" x14ac:dyDescent="0.25">
      <c r="E73" s="1">
        <v>76</v>
      </c>
      <c r="F73" s="1">
        <v>81</v>
      </c>
      <c r="G73" s="1">
        <v>56</v>
      </c>
      <c r="H73" s="65">
        <v>65</v>
      </c>
      <c r="I73" s="1">
        <v>118</v>
      </c>
      <c r="J73" s="1">
        <v>129</v>
      </c>
      <c r="K73" s="1">
        <v>86</v>
      </c>
      <c r="O73" s="253"/>
    </row>
    <row r="74" spans="5:31" x14ac:dyDescent="0.25">
      <c r="E74" s="1" t="s">
        <v>31</v>
      </c>
      <c r="F74" s="1">
        <v>68</v>
      </c>
      <c r="G74" s="1">
        <v>0</v>
      </c>
      <c r="H74" s="66">
        <v>66</v>
      </c>
      <c r="I74" s="1">
        <v>78</v>
      </c>
      <c r="J74" s="1">
        <v>104</v>
      </c>
      <c r="K74" s="1">
        <v>0</v>
      </c>
      <c r="O74" s="253"/>
    </row>
    <row r="75" spans="5:31" x14ac:dyDescent="0.25">
      <c r="E75" s="1" t="s">
        <v>40</v>
      </c>
      <c r="F75" s="1">
        <v>68</v>
      </c>
      <c r="G75" s="1">
        <v>45</v>
      </c>
      <c r="H75" s="67">
        <v>67</v>
      </c>
      <c r="I75" s="1">
        <v>95</v>
      </c>
      <c r="J75" s="1">
        <v>104</v>
      </c>
      <c r="K75" s="1">
        <v>69</v>
      </c>
      <c r="O75" s="253"/>
    </row>
    <row r="76" spans="5:31" x14ac:dyDescent="0.25">
      <c r="E76" s="1" t="s">
        <v>32</v>
      </c>
      <c r="F76" s="1" t="s">
        <v>25</v>
      </c>
      <c r="G76" s="1">
        <v>0</v>
      </c>
      <c r="H76" s="68">
        <v>68</v>
      </c>
      <c r="I76" s="1">
        <v>59</v>
      </c>
      <c r="J76" s="1">
        <v>79</v>
      </c>
      <c r="K76" s="1">
        <v>0</v>
      </c>
      <c r="O76" s="253"/>
    </row>
    <row r="77" spans="5:31" x14ac:dyDescent="0.25">
      <c r="E77" s="1">
        <v>49</v>
      </c>
      <c r="F77" s="1" t="s">
        <v>25</v>
      </c>
      <c r="G77" s="1">
        <v>35</v>
      </c>
      <c r="H77" s="69">
        <v>69</v>
      </c>
      <c r="I77" s="1">
        <v>73</v>
      </c>
      <c r="J77" s="1">
        <v>79</v>
      </c>
      <c r="K77" s="1">
        <v>53</v>
      </c>
      <c r="O77" s="253"/>
      <c r="S77" s="339"/>
      <c r="T77" s="339"/>
      <c r="U77" s="339"/>
      <c r="V77" s="339"/>
      <c r="W77" s="339"/>
      <c r="X77" s="339"/>
      <c r="Y77" s="339"/>
      <c r="Z77" s="339"/>
      <c r="AA77" s="339"/>
      <c r="AB77" s="339"/>
      <c r="AC77" s="339"/>
      <c r="AD77" s="339"/>
      <c r="AE77" s="339"/>
    </row>
    <row r="78" spans="5:31" x14ac:dyDescent="0.25">
      <c r="E78" s="1" t="s">
        <v>33</v>
      </c>
      <c r="F78" s="1" t="s">
        <v>21</v>
      </c>
      <c r="G78" s="1">
        <v>0</v>
      </c>
      <c r="H78" s="70">
        <v>70</v>
      </c>
      <c r="I78" s="1">
        <v>127</v>
      </c>
      <c r="J78" s="1">
        <v>255</v>
      </c>
      <c r="K78" s="1">
        <v>0</v>
      </c>
      <c r="O78" s="253"/>
    </row>
    <row r="79" spans="5:31" x14ac:dyDescent="0.25">
      <c r="E79" s="1" t="s">
        <v>34</v>
      </c>
      <c r="F79" s="1" t="s">
        <v>21</v>
      </c>
      <c r="G79" s="1" t="s">
        <v>22</v>
      </c>
      <c r="H79" s="71">
        <v>71</v>
      </c>
      <c r="I79" s="1">
        <v>212</v>
      </c>
      <c r="J79" s="1">
        <v>255</v>
      </c>
      <c r="K79" s="1">
        <v>170</v>
      </c>
      <c r="O79" s="253"/>
    </row>
    <row r="80" spans="5:31" x14ac:dyDescent="0.25">
      <c r="E80" s="1" t="s">
        <v>35</v>
      </c>
      <c r="F80" s="1" t="s">
        <v>23</v>
      </c>
      <c r="G80" s="1">
        <v>0</v>
      </c>
      <c r="H80" s="72">
        <v>72</v>
      </c>
      <c r="I80" s="1">
        <v>94</v>
      </c>
      <c r="J80" s="1">
        <v>189</v>
      </c>
      <c r="K80" s="1">
        <v>0</v>
      </c>
      <c r="O80" s="253"/>
    </row>
    <row r="81" spans="5:15" x14ac:dyDescent="0.25">
      <c r="E81" s="1" t="s">
        <v>36</v>
      </c>
      <c r="F81" s="1" t="s">
        <v>23</v>
      </c>
      <c r="G81" s="1" t="s">
        <v>24</v>
      </c>
      <c r="H81" s="73">
        <v>73</v>
      </c>
      <c r="I81" s="1">
        <v>157</v>
      </c>
      <c r="J81" s="1">
        <v>189</v>
      </c>
      <c r="K81" s="1">
        <v>126</v>
      </c>
      <c r="O81" s="253"/>
    </row>
    <row r="82" spans="5:15" x14ac:dyDescent="0.25">
      <c r="E82" s="1">
        <v>40</v>
      </c>
      <c r="F82" s="1">
        <v>81</v>
      </c>
      <c r="G82" s="1">
        <v>0</v>
      </c>
      <c r="H82" s="74">
        <v>74</v>
      </c>
      <c r="I82" s="1">
        <v>64</v>
      </c>
      <c r="J82" s="1">
        <v>129</v>
      </c>
      <c r="K82" s="1">
        <v>0</v>
      </c>
      <c r="O82" s="253"/>
    </row>
    <row r="83" spans="5:15" x14ac:dyDescent="0.25">
      <c r="E83" s="1" t="s">
        <v>37</v>
      </c>
      <c r="F83" s="1">
        <v>81</v>
      </c>
      <c r="G83" s="1">
        <v>56</v>
      </c>
      <c r="H83" s="75">
        <v>75</v>
      </c>
      <c r="I83" s="1">
        <v>107</v>
      </c>
      <c r="J83" s="1">
        <v>129</v>
      </c>
      <c r="K83" s="1">
        <v>86</v>
      </c>
      <c r="O83" s="253"/>
    </row>
    <row r="84" spans="5:15" x14ac:dyDescent="0.25">
      <c r="E84" s="1">
        <v>34</v>
      </c>
      <c r="F84" s="1">
        <v>68</v>
      </c>
      <c r="G84" s="1">
        <v>0</v>
      </c>
      <c r="H84" s="76">
        <v>76</v>
      </c>
      <c r="I84" s="1">
        <v>52</v>
      </c>
      <c r="J84" s="1">
        <v>104</v>
      </c>
      <c r="K84" s="1">
        <v>0</v>
      </c>
      <c r="O84" s="253"/>
    </row>
    <row r="85" spans="5:15" x14ac:dyDescent="0.25">
      <c r="E85" s="1">
        <v>56</v>
      </c>
      <c r="F85" s="1">
        <v>68</v>
      </c>
      <c r="G85" s="1">
        <v>45</v>
      </c>
      <c r="H85" s="77">
        <v>77</v>
      </c>
      <c r="I85" s="1">
        <v>86</v>
      </c>
      <c r="J85" s="1">
        <v>104</v>
      </c>
      <c r="K85" s="1">
        <v>69</v>
      </c>
      <c r="O85" s="253"/>
    </row>
    <row r="86" spans="5:15" x14ac:dyDescent="0.25">
      <c r="E86" s="1">
        <v>27</v>
      </c>
      <c r="F86" s="1" t="s">
        <v>25</v>
      </c>
      <c r="G86" s="1">
        <v>0</v>
      </c>
      <c r="H86" s="78">
        <v>78</v>
      </c>
      <c r="I86" s="1">
        <v>39</v>
      </c>
      <c r="J86" s="1">
        <v>79</v>
      </c>
      <c r="K86" s="1">
        <v>0</v>
      </c>
      <c r="O86" s="253"/>
    </row>
    <row r="87" spans="5:15" x14ac:dyDescent="0.25">
      <c r="E87" s="1">
        <v>42</v>
      </c>
      <c r="F87" s="1" t="s">
        <v>25</v>
      </c>
      <c r="G87" s="1">
        <v>35</v>
      </c>
      <c r="H87" s="79">
        <v>79</v>
      </c>
      <c r="I87" s="1">
        <v>66</v>
      </c>
      <c r="J87" s="1">
        <v>79</v>
      </c>
      <c r="K87" s="1">
        <v>53</v>
      </c>
      <c r="O87" s="253"/>
    </row>
    <row r="88" spans="5:15" x14ac:dyDescent="0.25">
      <c r="E88" s="1" t="s">
        <v>26</v>
      </c>
      <c r="F88" s="1" t="s">
        <v>21</v>
      </c>
      <c r="G88" s="1">
        <v>0</v>
      </c>
      <c r="H88" s="80">
        <v>80</v>
      </c>
      <c r="I88" s="1">
        <v>63</v>
      </c>
      <c r="J88" s="1">
        <v>255</v>
      </c>
      <c r="K88" s="1">
        <v>0</v>
      </c>
      <c r="O88" s="253"/>
    </row>
    <row r="89" spans="5:15" x14ac:dyDescent="0.25">
      <c r="E89" s="1" t="s">
        <v>27</v>
      </c>
      <c r="F89" s="1" t="s">
        <v>21</v>
      </c>
      <c r="G89" s="1" t="s">
        <v>22</v>
      </c>
      <c r="H89" s="81">
        <v>81</v>
      </c>
      <c r="I89" s="1">
        <v>191</v>
      </c>
      <c r="J89" s="1">
        <v>255</v>
      </c>
      <c r="K89" s="1">
        <v>170</v>
      </c>
      <c r="O89" s="253"/>
    </row>
    <row r="90" spans="5:15" x14ac:dyDescent="0.25">
      <c r="E90" s="1" t="s">
        <v>28</v>
      </c>
      <c r="F90" s="1" t="s">
        <v>23</v>
      </c>
      <c r="G90" s="1">
        <v>0</v>
      </c>
      <c r="H90" s="82">
        <v>82</v>
      </c>
      <c r="I90" s="1">
        <v>46</v>
      </c>
      <c r="J90" s="1">
        <v>189</v>
      </c>
      <c r="K90" s="1">
        <v>0</v>
      </c>
      <c r="O90" s="253"/>
    </row>
    <row r="91" spans="5:15" x14ac:dyDescent="0.25">
      <c r="E91" s="1" t="s">
        <v>29</v>
      </c>
      <c r="F91" s="1" t="s">
        <v>23</v>
      </c>
      <c r="G91" s="1" t="s">
        <v>24</v>
      </c>
      <c r="H91" s="83">
        <v>83</v>
      </c>
      <c r="I91" s="1">
        <v>141</v>
      </c>
      <c r="J91" s="1">
        <v>189</v>
      </c>
      <c r="K91" s="1">
        <v>126</v>
      </c>
      <c r="O91" s="253"/>
    </row>
    <row r="92" spans="5:15" x14ac:dyDescent="0.25">
      <c r="E92" s="1" t="s">
        <v>30</v>
      </c>
      <c r="F92" s="1">
        <v>81</v>
      </c>
      <c r="G92" s="1">
        <v>0</v>
      </c>
      <c r="H92" s="84">
        <v>84</v>
      </c>
      <c r="I92" s="1">
        <v>31</v>
      </c>
      <c r="J92" s="1">
        <v>129</v>
      </c>
      <c r="K92" s="1">
        <v>0</v>
      </c>
      <c r="O92" s="253"/>
    </row>
    <row r="93" spans="5:15" x14ac:dyDescent="0.25">
      <c r="E93" s="1">
        <v>60</v>
      </c>
      <c r="F93" s="1">
        <v>81</v>
      </c>
      <c r="G93" s="1">
        <v>56</v>
      </c>
      <c r="H93" s="85">
        <v>85</v>
      </c>
      <c r="I93" s="1">
        <v>96</v>
      </c>
      <c r="J93" s="1">
        <v>129</v>
      </c>
      <c r="K93" s="1">
        <v>86</v>
      </c>
      <c r="O93" s="253"/>
    </row>
    <row r="94" spans="5:15" x14ac:dyDescent="0.25">
      <c r="E94" s="1">
        <v>19</v>
      </c>
      <c r="F94" s="1">
        <v>68</v>
      </c>
      <c r="G94" s="1">
        <v>0</v>
      </c>
      <c r="H94" s="86">
        <v>86</v>
      </c>
      <c r="I94" s="1">
        <v>25</v>
      </c>
      <c r="J94" s="1">
        <v>104</v>
      </c>
      <c r="K94" s="1">
        <v>0</v>
      </c>
      <c r="O94" s="253"/>
    </row>
    <row r="95" spans="5:15" x14ac:dyDescent="0.25">
      <c r="E95" s="1" t="s">
        <v>31</v>
      </c>
      <c r="F95" s="1">
        <v>68</v>
      </c>
      <c r="G95" s="1">
        <v>45</v>
      </c>
      <c r="H95" s="87">
        <v>87</v>
      </c>
      <c r="I95" s="1">
        <v>78</v>
      </c>
      <c r="J95" s="1">
        <v>104</v>
      </c>
      <c r="K95" s="1">
        <v>69</v>
      </c>
      <c r="O95" s="253"/>
    </row>
    <row r="96" spans="5:15" x14ac:dyDescent="0.25">
      <c r="E96" s="1">
        <v>13</v>
      </c>
      <c r="F96" s="1" t="s">
        <v>25</v>
      </c>
      <c r="G96" s="1">
        <v>0</v>
      </c>
      <c r="H96" s="88">
        <v>88</v>
      </c>
      <c r="I96" s="1">
        <v>19</v>
      </c>
      <c r="J96" s="1">
        <v>79</v>
      </c>
      <c r="K96" s="1">
        <v>0</v>
      </c>
      <c r="O96" s="253"/>
    </row>
    <row r="97" spans="5:15" x14ac:dyDescent="0.25">
      <c r="E97" s="1" t="s">
        <v>32</v>
      </c>
      <c r="F97" s="1" t="s">
        <v>25</v>
      </c>
      <c r="G97" s="1">
        <v>35</v>
      </c>
      <c r="H97" s="89">
        <v>89</v>
      </c>
      <c r="I97" s="1">
        <v>59</v>
      </c>
      <c r="J97" s="1">
        <v>79</v>
      </c>
      <c r="K97" s="1">
        <v>53</v>
      </c>
      <c r="O97" s="253"/>
    </row>
    <row r="98" spans="5:15" x14ac:dyDescent="0.25">
      <c r="E98" s="1">
        <v>0</v>
      </c>
      <c r="F98" s="1" t="s">
        <v>21</v>
      </c>
      <c r="G98" s="1">
        <v>0</v>
      </c>
      <c r="H98" s="5">
        <v>90</v>
      </c>
      <c r="I98" s="1">
        <v>0</v>
      </c>
      <c r="J98" s="1">
        <v>255</v>
      </c>
      <c r="K98" s="1">
        <v>0</v>
      </c>
      <c r="O98" s="253"/>
    </row>
    <row r="99" spans="5:15" x14ac:dyDescent="0.25">
      <c r="E99" s="1" t="s">
        <v>22</v>
      </c>
      <c r="F99" s="1" t="s">
        <v>21</v>
      </c>
      <c r="G99" s="1" t="s">
        <v>22</v>
      </c>
      <c r="H99" s="90">
        <v>91</v>
      </c>
      <c r="I99" s="1">
        <v>170</v>
      </c>
      <c r="J99" s="1">
        <v>255</v>
      </c>
      <c r="K99" s="1">
        <v>170</v>
      </c>
      <c r="O99" s="253"/>
    </row>
    <row r="100" spans="5:15" x14ac:dyDescent="0.25">
      <c r="E100" s="1">
        <v>0</v>
      </c>
      <c r="F100" s="1" t="s">
        <v>23</v>
      </c>
      <c r="G100" s="1">
        <v>0</v>
      </c>
      <c r="H100" s="91">
        <v>92</v>
      </c>
      <c r="I100" s="1">
        <v>0</v>
      </c>
      <c r="J100" s="1">
        <v>189</v>
      </c>
      <c r="K100" s="1">
        <v>0</v>
      </c>
      <c r="O100" s="253"/>
    </row>
    <row r="101" spans="5:15" x14ac:dyDescent="0.25">
      <c r="E101" s="1" t="s">
        <v>24</v>
      </c>
      <c r="F101" s="1" t="s">
        <v>23</v>
      </c>
      <c r="G101" s="1" t="s">
        <v>24</v>
      </c>
      <c r="H101" s="92">
        <v>93</v>
      </c>
      <c r="I101" s="1">
        <v>126</v>
      </c>
      <c r="J101" s="1">
        <v>189</v>
      </c>
      <c r="K101" s="1">
        <v>126</v>
      </c>
      <c r="O101" s="253"/>
    </row>
    <row r="102" spans="5:15" x14ac:dyDescent="0.25">
      <c r="E102" s="1">
        <v>0</v>
      </c>
      <c r="F102" s="1">
        <v>81</v>
      </c>
      <c r="G102" s="1">
        <v>0</v>
      </c>
      <c r="H102" s="93">
        <v>94</v>
      </c>
      <c r="I102" s="1">
        <v>0</v>
      </c>
      <c r="J102" s="1">
        <v>129</v>
      </c>
      <c r="K102" s="1">
        <v>0</v>
      </c>
      <c r="O102" s="253"/>
    </row>
    <row r="103" spans="5:15" x14ac:dyDescent="0.25">
      <c r="E103" s="1">
        <v>56</v>
      </c>
      <c r="F103" s="1">
        <v>81</v>
      </c>
      <c r="G103" s="1">
        <v>56</v>
      </c>
      <c r="H103" s="94">
        <v>95</v>
      </c>
      <c r="I103" s="1">
        <v>86</v>
      </c>
      <c r="J103" s="1">
        <v>129</v>
      </c>
      <c r="K103" s="1">
        <v>86</v>
      </c>
      <c r="O103" s="253"/>
    </row>
    <row r="104" spans="5:15" x14ac:dyDescent="0.25">
      <c r="E104" s="1">
        <v>0</v>
      </c>
      <c r="F104" s="1">
        <v>68</v>
      </c>
      <c r="G104" s="1">
        <v>0</v>
      </c>
      <c r="H104" s="95">
        <v>96</v>
      </c>
      <c r="I104" s="1">
        <v>0</v>
      </c>
      <c r="J104" s="1">
        <v>104</v>
      </c>
      <c r="K104" s="1">
        <v>0</v>
      </c>
      <c r="O104" s="253"/>
    </row>
    <row r="105" spans="5:15" x14ac:dyDescent="0.25">
      <c r="E105" s="1">
        <v>45</v>
      </c>
      <c r="F105" s="1">
        <v>68</v>
      </c>
      <c r="G105" s="1">
        <v>45</v>
      </c>
      <c r="H105" s="96">
        <v>97</v>
      </c>
      <c r="I105" s="1">
        <v>69</v>
      </c>
      <c r="J105" s="1">
        <v>104</v>
      </c>
      <c r="K105" s="1">
        <v>69</v>
      </c>
      <c r="O105" s="253"/>
    </row>
    <row r="106" spans="5:15" x14ac:dyDescent="0.25">
      <c r="E106" s="1">
        <v>0</v>
      </c>
      <c r="F106" s="1" t="s">
        <v>25</v>
      </c>
      <c r="G106" s="1">
        <v>0</v>
      </c>
      <c r="H106" s="97">
        <v>98</v>
      </c>
      <c r="I106" s="1">
        <v>0</v>
      </c>
      <c r="J106" s="1">
        <v>79</v>
      </c>
      <c r="K106" s="1">
        <v>0</v>
      </c>
      <c r="O106" s="253"/>
    </row>
    <row r="107" spans="5:15" x14ac:dyDescent="0.25">
      <c r="E107" s="1">
        <v>35</v>
      </c>
      <c r="F107" s="1" t="s">
        <v>25</v>
      </c>
      <c r="G107" s="1">
        <v>35</v>
      </c>
      <c r="H107" s="98">
        <v>99</v>
      </c>
      <c r="I107" s="1">
        <v>53</v>
      </c>
      <c r="J107" s="1">
        <v>79</v>
      </c>
      <c r="K107" s="1">
        <v>53</v>
      </c>
      <c r="O107" s="253"/>
    </row>
    <row r="108" spans="5:15" x14ac:dyDescent="0.25">
      <c r="E108" s="1">
        <v>0</v>
      </c>
      <c r="F108" s="1" t="s">
        <v>21</v>
      </c>
      <c r="G108" s="1" t="s">
        <v>26</v>
      </c>
      <c r="H108" s="99">
        <v>100</v>
      </c>
      <c r="I108" s="1">
        <v>0</v>
      </c>
      <c r="J108" s="1">
        <v>255</v>
      </c>
      <c r="K108" s="1">
        <v>63</v>
      </c>
      <c r="O108" s="253"/>
    </row>
    <row r="109" spans="5:15" x14ac:dyDescent="0.25">
      <c r="E109" s="1" t="s">
        <v>22</v>
      </c>
      <c r="F109" s="1" t="s">
        <v>21</v>
      </c>
      <c r="G109" s="1" t="s">
        <v>27</v>
      </c>
      <c r="H109" s="100">
        <v>101</v>
      </c>
      <c r="I109" s="1">
        <v>170</v>
      </c>
      <c r="J109" s="1">
        <v>255</v>
      </c>
      <c r="K109" s="1">
        <v>191</v>
      </c>
      <c r="O109" s="253"/>
    </row>
    <row r="110" spans="5:15" x14ac:dyDescent="0.25">
      <c r="E110" s="1">
        <v>0</v>
      </c>
      <c r="F110" s="1" t="s">
        <v>23</v>
      </c>
      <c r="G110" s="1" t="s">
        <v>28</v>
      </c>
      <c r="H110" s="101">
        <v>102</v>
      </c>
      <c r="I110" s="1">
        <v>0</v>
      </c>
      <c r="J110" s="1">
        <v>189</v>
      </c>
      <c r="K110" s="1">
        <v>46</v>
      </c>
      <c r="O110" s="253"/>
    </row>
    <row r="111" spans="5:15" x14ac:dyDescent="0.25">
      <c r="E111" s="1" t="s">
        <v>24</v>
      </c>
      <c r="F111" s="1" t="s">
        <v>23</v>
      </c>
      <c r="G111" s="1" t="s">
        <v>29</v>
      </c>
      <c r="H111" s="102">
        <v>103</v>
      </c>
      <c r="I111" s="1">
        <v>126</v>
      </c>
      <c r="J111" s="1">
        <v>189</v>
      </c>
      <c r="K111" s="1">
        <v>141</v>
      </c>
      <c r="O111" s="253"/>
    </row>
    <row r="112" spans="5:15" x14ac:dyDescent="0.25">
      <c r="E112" s="1">
        <v>0</v>
      </c>
      <c r="F112" s="1">
        <v>81</v>
      </c>
      <c r="G112" s="1" t="s">
        <v>30</v>
      </c>
      <c r="H112" s="103">
        <v>104</v>
      </c>
      <c r="I112" s="1">
        <v>0</v>
      </c>
      <c r="J112" s="1">
        <v>129</v>
      </c>
      <c r="K112" s="1">
        <v>31</v>
      </c>
      <c r="O112" s="253"/>
    </row>
    <row r="113" spans="5:15" x14ac:dyDescent="0.25">
      <c r="E113" s="1">
        <v>56</v>
      </c>
      <c r="F113" s="1">
        <v>81</v>
      </c>
      <c r="G113" s="1">
        <v>60</v>
      </c>
      <c r="H113" s="104">
        <v>105</v>
      </c>
      <c r="I113" s="1">
        <v>86</v>
      </c>
      <c r="J113" s="1">
        <v>129</v>
      </c>
      <c r="K113" s="1">
        <v>96</v>
      </c>
      <c r="O113" s="253"/>
    </row>
    <row r="114" spans="5:15" x14ac:dyDescent="0.25">
      <c r="E114" s="1">
        <v>0</v>
      </c>
      <c r="F114" s="1">
        <v>68</v>
      </c>
      <c r="G114" s="1">
        <v>19</v>
      </c>
      <c r="H114" s="105">
        <v>106</v>
      </c>
      <c r="I114" s="1">
        <v>0</v>
      </c>
      <c r="J114" s="1">
        <v>104</v>
      </c>
      <c r="K114" s="1">
        <v>25</v>
      </c>
      <c r="O114" s="253"/>
    </row>
    <row r="115" spans="5:15" x14ac:dyDescent="0.25">
      <c r="E115" s="1">
        <v>45</v>
      </c>
      <c r="F115" s="1">
        <v>68</v>
      </c>
      <c r="G115" s="1" t="s">
        <v>31</v>
      </c>
      <c r="H115" s="106">
        <v>107</v>
      </c>
      <c r="I115" s="1">
        <v>69</v>
      </c>
      <c r="J115" s="1">
        <v>104</v>
      </c>
      <c r="K115" s="1">
        <v>78</v>
      </c>
      <c r="O115" s="253"/>
    </row>
    <row r="116" spans="5:15" x14ac:dyDescent="0.25">
      <c r="E116" s="1">
        <v>0</v>
      </c>
      <c r="F116" s="1" t="s">
        <v>25</v>
      </c>
      <c r="G116" s="1">
        <v>13</v>
      </c>
      <c r="H116" s="107">
        <v>108</v>
      </c>
      <c r="I116" s="1">
        <v>0</v>
      </c>
      <c r="J116" s="1">
        <v>79</v>
      </c>
      <c r="K116" s="1">
        <v>19</v>
      </c>
      <c r="O116" s="253"/>
    </row>
    <row r="117" spans="5:15" x14ac:dyDescent="0.25">
      <c r="E117" s="1">
        <v>35</v>
      </c>
      <c r="F117" s="1" t="s">
        <v>25</v>
      </c>
      <c r="G117" s="1" t="s">
        <v>32</v>
      </c>
      <c r="H117" s="108">
        <v>109</v>
      </c>
      <c r="I117" s="1">
        <v>53</v>
      </c>
      <c r="J117" s="1">
        <v>79</v>
      </c>
      <c r="K117" s="1">
        <v>59</v>
      </c>
      <c r="O117" s="253"/>
    </row>
    <row r="118" spans="5:15" x14ac:dyDescent="0.25">
      <c r="E118" s="1">
        <v>0</v>
      </c>
      <c r="F118" s="1" t="s">
        <v>21</v>
      </c>
      <c r="G118" s="1" t="s">
        <v>33</v>
      </c>
      <c r="H118" s="109">
        <v>110</v>
      </c>
      <c r="I118" s="1">
        <v>0</v>
      </c>
      <c r="J118" s="1">
        <v>255</v>
      </c>
      <c r="K118" s="1">
        <v>127</v>
      </c>
      <c r="O118" s="253"/>
    </row>
    <row r="119" spans="5:15" x14ac:dyDescent="0.25">
      <c r="E119" s="1" t="s">
        <v>22</v>
      </c>
      <c r="F119" s="1" t="s">
        <v>21</v>
      </c>
      <c r="G119" s="1" t="s">
        <v>34</v>
      </c>
      <c r="H119" s="110">
        <v>111</v>
      </c>
      <c r="I119" s="1">
        <v>170</v>
      </c>
      <c r="J119" s="1">
        <v>255</v>
      </c>
      <c r="K119" s="1">
        <v>212</v>
      </c>
      <c r="O119" s="253"/>
    </row>
    <row r="120" spans="5:15" x14ac:dyDescent="0.25">
      <c r="E120" s="1">
        <v>0</v>
      </c>
      <c r="F120" s="1" t="s">
        <v>23</v>
      </c>
      <c r="G120" s="1" t="s">
        <v>35</v>
      </c>
      <c r="H120" s="111">
        <v>112</v>
      </c>
      <c r="I120" s="1">
        <v>0</v>
      </c>
      <c r="J120" s="1">
        <v>189</v>
      </c>
      <c r="K120" s="1">
        <v>94</v>
      </c>
      <c r="O120" s="253"/>
    </row>
    <row r="121" spans="5:15" x14ac:dyDescent="0.25">
      <c r="E121" s="1" t="s">
        <v>24</v>
      </c>
      <c r="F121" s="1" t="s">
        <v>23</v>
      </c>
      <c r="G121" s="1" t="s">
        <v>36</v>
      </c>
      <c r="H121" s="112">
        <v>113</v>
      </c>
      <c r="I121" s="1">
        <v>126</v>
      </c>
      <c r="J121" s="1">
        <v>189</v>
      </c>
      <c r="K121" s="1">
        <v>157</v>
      </c>
      <c r="O121" s="253"/>
    </row>
    <row r="122" spans="5:15" x14ac:dyDescent="0.25">
      <c r="E122" s="1">
        <v>0</v>
      </c>
      <c r="F122" s="1">
        <v>81</v>
      </c>
      <c r="G122" s="1">
        <v>40</v>
      </c>
      <c r="H122" s="113">
        <v>114</v>
      </c>
      <c r="I122" s="1">
        <v>0</v>
      </c>
      <c r="J122" s="1">
        <v>129</v>
      </c>
      <c r="K122" s="1">
        <v>64</v>
      </c>
      <c r="O122" s="253"/>
    </row>
    <row r="123" spans="5:15" x14ac:dyDescent="0.25">
      <c r="E123" s="1">
        <v>56</v>
      </c>
      <c r="F123" s="1">
        <v>81</v>
      </c>
      <c r="G123" s="1" t="s">
        <v>37</v>
      </c>
      <c r="H123" s="114">
        <v>115</v>
      </c>
      <c r="I123" s="1">
        <v>86</v>
      </c>
      <c r="J123" s="1">
        <v>129</v>
      </c>
      <c r="K123" s="1">
        <v>107</v>
      </c>
      <c r="O123" s="253"/>
    </row>
    <row r="124" spans="5:15" x14ac:dyDescent="0.25">
      <c r="E124" s="1">
        <v>0</v>
      </c>
      <c r="F124" s="1">
        <v>68</v>
      </c>
      <c r="G124" s="1">
        <v>34</v>
      </c>
      <c r="H124" s="115">
        <v>116</v>
      </c>
      <c r="I124" s="1">
        <v>0</v>
      </c>
      <c r="J124" s="1">
        <v>104</v>
      </c>
      <c r="K124" s="1">
        <v>52</v>
      </c>
      <c r="O124" s="253"/>
    </row>
    <row r="125" spans="5:15" x14ac:dyDescent="0.25">
      <c r="E125" s="1">
        <v>45</v>
      </c>
      <c r="F125" s="1">
        <v>68</v>
      </c>
      <c r="G125" s="1">
        <v>56</v>
      </c>
      <c r="H125" s="116">
        <v>117</v>
      </c>
      <c r="I125" s="1">
        <v>69</v>
      </c>
      <c r="J125" s="1">
        <v>104</v>
      </c>
      <c r="K125" s="1">
        <v>86</v>
      </c>
      <c r="O125" s="253"/>
    </row>
    <row r="126" spans="5:15" x14ac:dyDescent="0.25">
      <c r="E126" s="1">
        <v>0</v>
      </c>
      <c r="F126" s="1" t="s">
        <v>25</v>
      </c>
      <c r="G126" s="1">
        <v>27</v>
      </c>
      <c r="H126" s="117">
        <v>118</v>
      </c>
      <c r="I126" s="1">
        <v>0</v>
      </c>
      <c r="J126" s="1">
        <v>79</v>
      </c>
      <c r="K126" s="1">
        <v>39</v>
      </c>
      <c r="O126" s="253"/>
    </row>
    <row r="127" spans="5:15" x14ac:dyDescent="0.25">
      <c r="E127" s="1">
        <v>35</v>
      </c>
      <c r="F127" s="1" t="s">
        <v>25</v>
      </c>
      <c r="G127" s="1">
        <v>42</v>
      </c>
      <c r="H127" s="118">
        <v>119</v>
      </c>
      <c r="I127" s="1">
        <v>53</v>
      </c>
      <c r="J127" s="1">
        <v>79</v>
      </c>
      <c r="K127" s="1">
        <v>66</v>
      </c>
      <c r="O127" s="253"/>
    </row>
    <row r="128" spans="5:15" x14ac:dyDescent="0.25">
      <c r="E128" s="1">
        <v>0</v>
      </c>
      <c r="F128" s="1" t="s">
        <v>21</v>
      </c>
      <c r="G128" s="1" t="s">
        <v>27</v>
      </c>
      <c r="H128" s="119">
        <v>120</v>
      </c>
      <c r="I128" s="1">
        <v>0</v>
      </c>
      <c r="J128" s="1">
        <v>255</v>
      </c>
      <c r="K128" s="1">
        <v>191</v>
      </c>
      <c r="O128" s="253"/>
    </row>
    <row r="129" spans="5:15" x14ac:dyDescent="0.25">
      <c r="E129" s="1" t="s">
        <v>22</v>
      </c>
      <c r="F129" s="1" t="s">
        <v>21</v>
      </c>
      <c r="G129" s="1" t="s">
        <v>38</v>
      </c>
      <c r="H129" s="120">
        <v>121</v>
      </c>
      <c r="I129" s="1">
        <v>170</v>
      </c>
      <c r="J129" s="1">
        <v>255</v>
      </c>
      <c r="K129" s="1">
        <v>234</v>
      </c>
      <c r="O129" s="253"/>
    </row>
    <row r="130" spans="5:15" x14ac:dyDescent="0.25">
      <c r="E130" s="1">
        <v>0</v>
      </c>
      <c r="F130" s="1" t="s">
        <v>23</v>
      </c>
      <c r="G130" s="1" t="s">
        <v>29</v>
      </c>
      <c r="H130" s="121">
        <v>122</v>
      </c>
      <c r="I130" s="1">
        <v>0</v>
      </c>
      <c r="J130" s="1">
        <v>189</v>
      </c>
      <c r="K130" s="1">
        <v>141</v>
      </c>
      <c r="O130" s="253"/>
    </row>
    <row r="131" spans="5:15" x14ac:dyDescent="0.25">
      <c r="E131" s="1" t="s">
        <v>24</v>
      </c>
      <c r="F131" s="1" t="s">
        <v>23</v>
      </c>
      <c r="G131" s="1" t="s">
        <v>39</v>
      </c>
      <c r="H131" s="122">
        <v>123</v>
      </c>
      <c r="I131" s="1">
        <v>126</v>
      </c>
      <c r="J131" s="1">
        <v>189</v>
      </c>
      <c r="K131" s="1">
        <v>173</v>
      </c>
      <c r="O131" s="253"/>
    </row>
    <row r="132" spans="5:15" x14ac:dyDescent="0.25">
      <c r="E132" s="1">
        <v>0</v>
      </c>
      <c r="F132" s="1">
        <v>81</v>
      </c>
      <c r="G132" s="1">
        <v>60</v>
      </c>
      <c r="H132" s="123">
        <v>124</v>
      </c>
      <c r="I132" s="1">
        <v>0</v>
      </c>
      <c r="J132" s="1">
        <v>129</v>
      </c>
      <c r="K132" s="1">
        <v>96</v>
      </c>
      <c r="O132" s="253"/>
    </row>
    <row r="133" spans="5:15" x14ac:dyDescent="0.25">
      <c r="E133" s="1">
        <v>56</v>
      </c>
      <c r="F133" s="1">
        <v>81</v>
      </c>
      <c r="G133" s="1">
        <v>76</v>
      </c>
      <c r="H133" s="124">
        <v>125</v>
      </c>
      <c r="I133" s="1">
        <v>86</v>
      </c>
      <c r="J133" s="1">
        <v>129</v>
      </c>
      <c r="K133" s="1">
        <v>118</v>
      </c>
      <c r="O133" s="253"/>
    </row>
    <row r="134" spans="5:15" x14ac:dyDescent="0.25">
      <c r="E134" s="1">
        <v>0</v>
      </c>
      <c r="F134" s="1">
        <v>68</v>
      </c>
      <c r="G134" s="1" t="s">
        <v>31</v>
      </c>
      <c r="H134" s="125">
        <v>126</v>
      </c>
      <c r="I134" s="1">
        <v>0</v>
      </c>
      <c r="J134" s="1">
        <v>104</v>
      </c>
      <c r="K134" s="1">
        <v>78</v>
      </c>
      <c r="O134" s="253"/>
    </row>
    <row r="135" spans="5:15" x14ac:dyDescent="0.25">
      <c r="E135" s="1">
        <v>45</v>
      </c>
      <c r="F135" s="1">
        <v>68</v>
      </c>
      <c r="G135" s="1" t="s">
        <v>40</v>
      </c>
      <c r="H135" s="126">
        <v>127</v>
      </c>
      <c r="I135" s="1">
        <v>69</v>
      </c>
      <c r="J135" s="1">
        <v>104</v>
      </c>
      <c r="K135" s="1">
        <v>95</v>
      </c>
      <c r="O135" s="253"/>
    </row>
    <row r="136" spans="5:15" x14ac:dyDescent="0.25">
      <c r="E136" s="1">
        <v>0</v>
      </c>
      <c r="F136" s="1" t="s">
        <v>25</v>
      </c>
      <c r="G136" s="1" t="s">
        <v>32</v>
      </c>
      <c r="H136" s="127">
        <v>128</v>
      </c>
      <c r="I136" s="1">
        <v>0</v>
      </c>
      <c r="J136" s="1">
        <v>79</v>
      </c>
      <c r="K136" s="1">
        <v>59</v>
      </c>
      <c r="O136" s="253"/>
    </row>
    <row r="137" spans="5:15" x14ac:dyDescent="0.25">
      <c r="E137" s="1">
        <v>35</v>
      </c>
      <c r="F137" s="1" t="s">
        <v>25</v>
      </c>
      <c r="G137" s="1">
        <v>49</v>
      </c>
      <c r="H137" s="128">
        <v>129</v>
      </c>
      <c r="I137" s="1">
        <v>53</v>
      </c>
      <c r="J137" s="1">
        <v>79</v>
      </c>
      <c r="K137" s="1">
        <v>73</v>
      </c>
      <c r="O137" s="253"/>
    </row>
    <row r="138" spans="5:15" x14ac:dyDescent="0.25">
      <c r="E138" s="1">
        <v>0</v>
      </c>
      <c r="F138" s="1" t="s">
        <v>21</v>
      </c>
      <c r="G138" s="1" t="s">
        <v>21</v>
      </c>
      <c r="H138" s="6">
        <v>130</v>
      </c>
      <c r="I138" s="1">
        <v>0</v>
      </c>
      <c r="J138" s="1">
        <v>255</v>
      </c>
      <c r="K138" s="1">
        <v>255</v>
      </c>
      <c r="O138" s="253"/>
    </row>
    <row r="139" spans="5:15" x14ac:dyDescent="0.25">
      <c r="E139" s="1" t="s">
        <v>22</v>
      </c>
      <c r="F139" s="1" t="s">
        <v>21</v>
      </c>
      <c r="G139" s="1" t="s">
        <v>21</v>
      </c>
      <c r="H139" s="129">
        <v>131</v>
      </c>
      <c r="I139" s="1">
        <v>170</v>
      </c>
      <c r="J139" s="1">
        <v>255</v>
      </c>
      <c r="K139" s="1">
        <v>255</v>
      </c>
      <c r="O139" s="253"/>
    </row>
    <row r="140" spans="5:15" x14ac:dyDescent="0.25">
      <c r="E140" s="1">
        <v>0</v>
      </c>
      <c r="F140" s="1" t="s">
        <v>23</v>
      </c>
      <c r="G140" s="1" t="s">
        <v>23</v>
      </c>
      <c r="H140" s="130">
        <v>132</v>
      </c>
      <c r="I140" s="1">
        <v>0</v>
      </c>
      <c r="J140" s="1">
        <v>189</v>
      </c>
      <c r="K140" s="1">
        <v>189</v>
      </c>
      <c r="O140" s="253"/>
    </row>
    <row r="141" spans="5:15" x14ac:dyDescent="0.25">
      <c r="E141" s="1" t="s">
        <v>24</v>
      </c>
      <c r="F141" s="1" t="s">
        <v>23</v>
      </c>
      <c r="G141" s="1" t="s">
        <v>23</v>
      </c>
      <c r="H141" s="131">
        <v>133</v>
      </c>
      <c r="I141" s="1">
        <v>126</v>
      </c>
      <c r="J141" s="1">
        <v>189</v>
      </c>
      <c r="K141" s="1">
        <v>189</v>
      </c>
      <c r="O141" s="253"/>
    </row>
    <row r="142" spans="5:15" x14ac:dyDescent="0.25">
      <c r="E142" s="1">
        <v>0</v>
      </c>
      <c r="F142" s="1">
        <v>81</v>
      </c>
      <c r="G142" s="1">
        <v>81</v>
      </c>
      <c r="H142" s="132">
        <v>134</v>
      </c>
      <c r="I142" s="1">
        <v>0</v>
      </c>
      <c r="J142" s="1">
        <v>129</v>
      </c>
      <c r="K142" s="1">
        <v>129</v>
      </c>
      <c r="O142" s="253"/>
    </row>
    <row r="143" spans="5:15" x14ac:dyDescent="0.25">
      <c r="E143" s="1">
        <v>56</v>
      </c>
      <c r="F143" s="1">
        <v>81</v>
      </c>
      <c r="G143" s="1">
        <v>81</v>
      </c>
      <c r="H143" s="133">
        <v>135</v>
      </c>
      <c r="I143" s="1">
        <v>86</v>
      </c>
      <c r="J143" s="1">
        <v>129</v>
      </c>
      <c r="K143" s="1">
        <v>129</v>
      </c>
      <c r="O143" s="253"/>
    </row>
    <row r="144" spans="5:15" x14ac:dyDescent="0.25">
      <c r="E144" s="1">
        <v>0</v>
      </c>
      <c r="F144" s="1">
        <v>68</v>
      </c>
      <c r="G144" s="1">
        <v>68</v>
      </c>
      <c r="H144" s="134">
        <v>136</v>
      </c>
      <c r="I144" s="1">
        <v>0</v>
      </c>
      <c r="J144" s="1">
        <v>104</v>
      </c>
      <c r="K144" s="1">
        <v>104</v>
      </c>
      <c r="O144" s="253"/>
    </row>
    <row r="145" spans="5:15" x14ac:dyDescent="0.25">
      <c r="E145" s="1">
        <v>45</v>
      </c>
      <c r="F145" s="1">
        <v>68</v>
      </c>
      <c r="G145" s="1">
        <v>68</v>
      </c>
      <c r="H145" s="135">
        <v>137</v>
      </c>
      <c r="I145" s="1">
        <v>69</v>
      </c>
      <c r="J145" s="1">
        <v>104</v>
      </c>
      <c r="K145" s="1">
        <v>104</v>
      </c>
      <c r="O145" s="253"/>
    </row>
    <row r="146" spans="5:15" x14ac:dyDescent="0.25">
      <c r="E146" s="1">
        <v>0</v>
      </c>
      <c r="F146" s="1" t="s">
        <v>25</v>
      </c>
      <c r="G146" s="1" t="s">
        <v>25</v>
      </c>
      <c r="H146" s="136">
        <v>138</v>
      </c>
      <c r="I146" s="1">
        <v>0</v>
      </c>
      <c r="J146" s="1">
        <v>79</v>
      </c>
      <c r="K146" s="1">
        <v>79</v>
      </c>
      <c r="O146" s="253"/>
    </row>
    <row r="147" spans="5:15" x14ac:dyDescent="0.25">
      <c r="E147" s="1">
        <v>35</v>
      </c>
      <c r="F147" s="1" t="s">
        <v>25</v>
      </c>
      <c r="G147" s="1" t="s">
        <v>25</v>
      </c>
      <c r="H147" s="137">
        <v>139</v>
      </c>
      <c r="I147" s="1">
        <v>53</v>
      </c>
      <c r="J147" s="1">
        <v>79</v>
      </c>
      <c r="K147" s="1">
        <v>79</v>
      </c>
      <c r="O147" s="253"/>
    </row>
    <row r="148" spans="5:15" x14ac:dyDescent="0.25">
      <c r="E148" s="1">
        <v>0</v>
      </c>
      <c r="F148" s="1" t="s">
        <v>27</v>
      </c>
      <c r="G148" s="1" t="s">
        <v>21</v>
      </c>
      <c r="H148" s="138">
        <v>140</v>
      </c>
      <c r="I148" s="1">
        <v>0</v>
      </c>
      <c r="J148" s="1">
        <v>191</v>
      </c>
      <c r="K148" s="1">
        <v>255</v>
      </c>
      <c r="O148" s="253"/>
    </row>
    <row r="149" spans="5:15" x14ac:dyDescent="0.25">
      <c r="E149" s="1" t="s">
        <v>22</v>
      </c>
      <c r="F149" s="1" t="s">
        <v>38</v>
      </c>
      <c r="G149" s="1" t="s">
        <v>21</v>
      </c>
      <c r="H149" s="139">
        <v>141</v>
      </c>
      <c r="I149" s="1">
        <v>170</v>
      </c>
      <c r="J149" s="1">
        <v>234</v>
      </c>
      <c r="K149" s="1">
        <v>255</v>
      </c>
      <c r="O149" s="253"/>
    </row>
    <row r="150" spans="5:15" x14ac:dyDescent="0.25">
      <c r="E150" s="1">
        <v>0</v>
      </c>
      <c r="F150" s="1" t="s">
        <v>29</v>
      </c>
      <c r="G150" s="1" t="s">
        <v>23</v>
      </c>
      <c r="H150" s="140">
        <v>142</v>
      </c>
      <c r="I150" s="1">
        <v>0</v>
      </c>
      <c r="J150" s="1">
        <v>141</v>
      </c>
      <c r="K150" s="1">
        <v>189</v>
      </c>
      <c r="O150" s="253"/>
    </row>
    <row r="151" spans="5:15" x14ac:dyDescent="0.25">
      <c r="E151" s="1" t="s">
        <v>24</v>
      </c>
      <c r="F151" s="1" t="s">
        <v>39</v>
      </c>
      <c r="G151" s="1" t="s">
        <v>23</v>
      </c>
      <c r="H151" s="141">
        <v>143</v>
      </c>
      <c r="I151" s="1">
        <v>126</v>
      </c>
      <c r="J151" s="1">
        <v>173</v>
      </c>
      <c r="K151" s="1">
        <v>189</v>
      </c>
      <c r="O151" s="253"/>
    </row>
    <row r="152" spans="5:15" x14ac:dyDescent="0.25">
      <c r="E152" s="1">
        <v>0</v>
      </c>
      <c r="F152" s="1">
        <v>60</v>
      </c>
      <c r="G152" s="1">
        <v>81</v>
      </c>
      <c r="H152" s="142">
        <v>144</v>
      </c>
      <c r="I152" s="1">
        <v>0</v>
      </c>
      <c r="J152" s="1">
        <v>96</v>
      </c>
      <c r="K152" s="1">
        <v>129</v>
      </c>
      <c r="O152" s="253"/>
    </row>
    <row r="153" spans="5:15" x14ac:dyDescent="0.25">
      <c r="E153" s="1">
        <v>56</v>
      </c>
      <c r="F153" s="1">
        <v>76</v>
      </c>
      <c r="G153" s="1">
        <v>81</v>
      </c>
      <c r="H153" s="143">
        <v>145</v>
      </c>
      <c r="I153" s="1">
        <v>86</v>
      </c>
      <c r="J153" s="1">
        <v>118</v>
      </c>
      <c r="K153" s="1">
        <v>129</v>
      </c>
      <c r="O153" s="253"/>
    </row>
    <row r="154" spans="5:15" x14ac:dyDescent="0.25">
      <c r="E154" s="1">
        <v>0</v>
      </c>
      <c r="F154" s="1" t="s">
        <v>31</v>
      </c>
      <c r="G154" s="1">
        <v>68</v>
      </c>
      <c r="H154" s="144">
        <v>146</v>
      </c>
      <c r="I154" s="1">
        <v>0</v>
      </c>
      <c r="J154" s="1">
        <v>78</v>
      </c>
      <c r="K154" s="1">
        <v>104</v>
      </c>
      <c r="O154" s="253"/>
    </row>
    <row r="155" spans="5:15" x14ac:dyDescent="0.25">
      <c r="E155" s="1">
        <v>45</v>
      </c>
      <c r="F155" s="1" t="s">
        <v>40</v>
      </c>
      <c r="G155" s="1">
        <v>68</v>
      </c>
      <c r="H155" s="145">
        <v>147</v>
      </c>
      <c r="I155" s="1">
        <v>69</v>
      </c>
      <c r="J155" s="1">
        <v>95</v>
      </c>
      <c r="K155" s="1">
        <v>104</v>
      </c>
      <c r="O155" s="253"/>
    </row>
    <row r="156" spans="5:15" x14ac:dyDescent="0.25">
      <c r="E156" s="1">
        <v>0</v>
      </c>
      <c r="F156" s="1" t="s">
        <v>32</v>
      </c>
      <c r="G156" s="1" t="s">
        <v>25</v>
      </c>
      <c r="H156" s="146">
        <v>148</v>
      </c>
      <c r="I156" s="1">
        <v>0</v>
      </c>
      <c r="J156" s="1">
        <v>59</v>
      </c>
      <c r="K156" s="1">
        <v>79</v>
      </c>
      <c r="O156" s="253"/>
    </row>
    <row r="157" spans="5:15" x14ac:dyDescent="0.25">
      <c r="E157" s="1">
        <v>35</v>
      </c>
      <c r="F157" s="1">
        <v>49</v>
      </c>
      <c r="G157" s="1" t="s">
        <v>25</v>
      </c>
      <c r="H157" s="147">
        <v>149</v>
      </c>
      <c r="I157" s="1">
        <v>53</v>
      </c>
      <c r="J157" s="1">
        <v>73</v>
      </c>
      <c r="K157" s="1">
        <v>79</v>
      </c>
      <c r="O157" s="253"/>
    </row>
    <row r="158" spans="5:15" x14ac:dyDescent="0.25">
      <c r="E158" s="1">
        <v>0</v>
      </c>
      <c r="F158" s="1" t="s">
        <v>33</v>
      </c>
      <c r="G158" s="1" t="s">
        <v>21</v>
      </c>
      <c r="H158" s="148">
        <v>150</v>
      </c>
      <c r="I158" s="1">
        <v>0</v>
      </c>
      <c r="J158" s="1">
        <v>127</v>
      </c>
      <c r="K158" s="1">
        <v>255</v>
      </c>
      <c r="O158" s="253"/>
    </row>
    <row r="159" spans="5:15" x14ac:dyDescent="0.25">
      <c r="E159" s="1" t="s">
        <v>22</v>
      </c>
      <c r="F159" s="1" t="s">
        <v>34</v>
      </c>
      <c r="G159" s="1" t="s">
        <v>21</v>
      </c>
      <c r="H159" s="149">
        <v>151</v>
      </c>
      <c r="I159" s="1">
        <v>170</v>
      </c>
      <c r="J159" s="1">
        <v>212</v>
      </c>
      <c r="K159" s="1">
        <v>255</v>
      </c>
      <c r="O159" s="253"/>
    </row>
    <row r="160" spans="5:15" x14ac:dyDescent="0.25">
      <c r="E160" s="1">
        <v>0</v>
      </c>
      <c r="F160" s="1" t="s">
        <v>35</v>
      </c>
      <c r="G160" s="1" t="s">
        <v>23</v>
      </c>
      <c r="H160" s="150">
        <v>152</v>
      </c>
      <c r="I160" s="1">
        <v>0</v>
      </c>
      <c r="J160" s="1">
        <v>94</v>
      </c>
      <c r="K160" s="1">
        <v>189</v>
      </c>
      <c r="O160" s="253"/>
    </row>
    <row r="161" spans="5:15" x14ac:dyDescent="0.25">
      <c r="E161" s="1" t="s">
        <v>24</v>
      </c>
      <c r="F161" s="1" t="s">
        <v>36</v>
      </c>
      <c r="G161" s="1" t="s">
        <v>23</v>
      </c>
      <c r="H161" s="151">
        <v>153</v>
      </c>
      <c r="I161" s="1">
        <v>126</v>
      </c>
      <c r="J161" s="1">
        <v>157</v>
      </c>
      <c r="K161" s="1">
        <v>189</v>
      </c>
      <c r="O161" s="253"/>
    </row>
    <row r="162" spans="5:15" x14ac:dyDescent="0.25">
      <c r="E162" s="1">
        <v>0</v>
      </c>
      <c r="F162" s="1">
        <v>40</v>
      </c>
      <c r="G162" s="1">
        <v>81</v>
      </c>
      <c r="H162" s="152">
        <v>154</v>
      </c>
      <c r="I162" s="1">
        <v>0</v>
      </c>
      <c r="J162" s="1">
        <v>64</v>
      </c>
      <c r="K162" s="1">
        <v>129</v>
      </c>
      <c r="O162" s="253"/>
    </row>
    <row r="163" spans="5:15" x14ac:dyDescent="0.25">
      <c r="E163" s="1">
        <v>56</v>
      </c>
      <c r="F163" s="1" t="s">
        <v>37</v>
      </c>
      <c r="G163" s="1">
        <v>81</v>
      </c>
      <c r="H163" s="153">
        <v>155</v>
      </c>
      <c r="I163" s="1">
        <v>86</v>
      </c>
      <c r="J163" s="1">
        <v>107</v>
      </c>
      <c r="K163" s="1">
        <v>129</v>
      </c>
      <c r="O163" s="253"/>
    </row>
    <row r="164" spans="5:15" x14ac:dyDescent="0.25">
      <c r="E164" s="1">
        <v>0</v>
      </c>
      <c r="F164" s="1">
        <v>34</v>
      </c>
      <c r="G164" s="1">
        <v>68</v>
      </c>
      <c r="H164" s="154">
        <v>156</v>
      </c>
      <c r="I164" s="1">
        <v>0</v>
      </c>
      <c r="J164" s="1">
        <v>52</v>
      </c>
      <c r="K164" s="1">
        <v>104</v>
      </c>
      <c r="O164" s="253"/>
    </row>
    <row r="165" spans="5:15" x14ac:dyDescent="0.25">
      <c r="E165" s="1">
        <v>45</v>
      </c>
      <c r="F165" s="1">
        <v>56</v>
      </c>
      <c r="G165" s="1">
        <v>68</v>
      </c>
      <c r="H165" s="155">
        <v>157</v>
      </c>
      <c r="I165" s="1">
        <v>69</v>
      </c>
      <c r="J165" s="1">
        <v>86</v>
      </c>
      <c r="K165" s="1">
        <v>104</v>
      </c>
      <c r="O165" s="253"/>
    </row>
    <row r="166" spans="5:15" x14ac:dyDescent="0.25">
      <c r="E166" s="1">
        <v>0</v>
      </c>
      <c r="F166" s="1">
        <v>27</v>
      </c>
      <c r="G166" s="1" t="s">
        <v>25</v>
      </c>
      <c r="H166" s="156">
        <v>158</v>
      </c>
      <c r="I166" s="1">
        <v>0</v>
      </c>
      <c r="J166" s="1">
        <v>39</v>
      </c>
      <c r="K166" s="1">
        <v>79</v>
      </c>
      <c r="O166" s="253"/>
    </row>
    <row r="167" spans="5:15" x14ac:dyDescent="0.25">
      <c r="E167" s="1">
        <v>35</v>
      </c>
      <c r="F167" s="1">
        <v>42</v>
      </c>
      <c r="G167" s="1" t="s">
        <v>25</v>
      </c>
      <c r="H167" s="157">
        <v>159</v>
      </c>
      <c r="I167" s="1">
        <v>53</v>
      </c>
      <c r="J167" s="1">
        <v>66</v>
      </c>
      <c r="K167" s="1">
        <v>79</v>
      </c>
      <c r="O167" s="253"/>
    </row>
    <row r="168" spans="5:15" x14ac:dyDescent="0.25">
      <c r="E168" s="1">
        <v>0</v>
      </c>
      <c r="F168" s="1" t="s">
        <v>26</v>
      </c>
      <c r="G168" s="1" t="s">
        <v>21</v>
      </c>
      <c r="H168" s="158">
        <v>160</v>
      </c>
      <c r="I168" s="1">
        <v>0</v>
      </c>
      <c r="J168" s="1">
        <v>63</v>
      </c>
      <c r="K168" s="1">
        <v>255</v>
      </c>
      <c r="O168" s="253"/>
    </row>
    <row r="169" spans="5:15" x14ac:dyDescent="0.25">
      <c r="E169" s="1" t="s">
        <v>22</v>
      </c>
      <c r="F169" s="1" t="s">
        <v>27</v>
      </c>
      <c r="G169" s="1" t="s">
        <v>21</v>
      </c>
      <c r="H169" s="159">
        <v>161</v>
      </c>
      <c r="I169" s="1">
        <v>170</v>
      </c>
      <c r="J169" s="1">
        <v>191</v>
      </c>
      <c r="K169" s="1">
        <v>255</v>
      </c>
      <c r="O169" s="253"/>
    </row>
    <row r="170" spans="5:15" x14ac:dyDescent="0.25">
      <c r="E170" s="1">
        <v>0</v>
      </c>
      <c r="F170" s="1" t="s">
        <v>28</v>
      </c>
      <c r="G170" s="1" t="s">
        <v>23</v>
      </c>
      <c r="H170" s="160">
        <v>162</v>
      </c>
      <c r="I170" s="1">
        <v>0</v>
      </c>
      <c r="J170" s="1">
        <v>46</v>
      </c>
      <c r="K170" s="1">
        <v>189</v>
      </c>
      <c r="O170" s="253"/>
    </row>
    <row r="171" spans="5:15" x14ac:dyDescent="0.25">
      <c r="E171" s="1" t="s">
        <v>24</v>
      </c>
      <c r="F171" s="1" t="s">
        <v>29</v>
      </c>
      <c r="G171" s="1" t="s">
        <v>23</v>
      </c>
      <c r="H171" s="161">
        <v>163</v>
      </c>
      <c r="I171" s="1">
        <v>126</v>
      </c>
      <c r="J171" s="1">
        <v>141</v>
      </c>
      <c r="K171" s="1">
        <v>189</v>
      </c>
      <c r="O171" s="253"/>
    </row>
    <row r="172" spans="5:15" x14ac:dyDescent="0.25">
      <c r="E172" s="1">
        <v>0</v>
      </c>
      <c r="F172" s="1" t="s">
        <v>30</v>
      </c>
      <c r="G172" s="1">
        <v>81</v>
      </c>
      <c r="H172" s="162">
        <v>164</v>
      </c>
      <c r="I172" s="1">
        <v>0</v>
      </c>
      <c r="J172" s="1">
        <v>31</v>
      </c>
      <c r="K172" s="1">
        <v>129</v>
      </c>
      <c r="O172" s="253"/>
    </row>
    <row r="173" spans="5:15" x14ac:dyDescent="0.25">
      <c r="E173" s="1">
        <v>56</v>
      </c>
      <c r="F173" s="1">
        <v>60</v>
      </c>
      <c r="G173" s="1">
        <v>81</v>
      </c>
      <c r="H173" s="163">
        <v>165</v>
      </c>
      <c r="I173" s="1">
        <v>86</v>
      </c>
      <c r="J173" s="1">
        <v>96</v>
      </c>
      <c r="K173" s="1">
        <v>129</v>
      </c>
      <c r="O173" s="253"/>
    </row>
    <row r="174" spans="5:15" x14ac:dyDescent="0.25">
      <c r="E174" s="1">
        <v>0</v>
      </c>
      <c r="F174" s="1">
        <v>19</v>
      </c>
      <c r="G174" s="1">
        <v>68</v>
      </c>
      <c r="H174" s="164">
        <v>166</v>
      </c>
      <c r="I174" s="1">
        <v>0</v>
      </c>
      <c r="J174" s="1">
        <v>25</v>
      </c>
      <c r="K174" s="1">
        <v>104</v>
      </c>
      <c r="O174" s="253"/>
    </row>
    <row r="175" spans="5:15" x14ac:dyDescent="0.25">
      <c r="E175" s="1">
        <v>45</v>
      </c>
      <c r="F175" s="1" t="s">
        <v>31</v>
      </c>
      <c r="G175" s="1">
        <v>68</v>
      </c>
      <c r="H175" s="165">
        <v>167</v>
      </c>
      <c r="I175" s="1">
        <v>69</v>
      </c>
      <c r="J175" s="1">
        <v>78</v>
      </c>
      <c r="K175" s="1">
        <v>104</v>
      </c>
      <c r="O175" s="253"/>
    </row>
    <row r="176" spans="5:15" x14ac:dyDescent="0.25">
      <c r="E176" s="1">
        <v>0</v>
      </c>
      <c r="F176" s="1">
        <v>13</v>
      </c>
      <c r="G176" s="1" t="s">
        <v>25</v>
      </c>
      <c r="H176" s="166">
        <v>168</v>
      </c>
      <c r="I176" s="1">
        <v>0</v>
      </c>
      <c r="J176" s="1">
        <v>19</v>
      </c>
      <c r="K176" s="1">
        <v>79</v>
      </c>
      <c r="O176" s="253"/>
    </row>
    <row r="177" spans="5:15" x14ac:dyDescent="0.25">
      <c r="E177" s="1">
        <v>35</v>
      </c>
      <c r="F177" s="1" t="s">
        <v>32</v>
      </c>
      <c r="G177" s="1" t="s">
        <v>25</v>
      </c>
      <c r="H177" s="167">
        <v>169</v>
      </c>
      <c r="I177" s="1">
        <v>53</v>
      </c>
      <c r="J177" s="1">
        <v>59</v>
      </c>
      <c r="K177" s="1">
        <v>79</v>
      </c>
      <c r="O177" s="253"/>
    </row>
    <row r="178" spans="5:15" x14ac:dyDescent="0.25">
      <c r="E178" s="1">
        <v>0</v>
      </c>
      <c r="F178" s="1">
        <v>0</v>
      </c>
      <c r="G178" s="1" t="s">
        <v>21</v>
      </c>
      <c r="H178" s="7">
        <v>170</v>
      </c>
      <c r="I178" s="1">
        <v>0</v>
      </c>
      <c r="J178" s="1">
        <v>0</v>
      </c>
      <c r="K178" s="1">
        <v>255</v>
      </c>
      <c r="O178" s="253"/>
    </row>
    <row r="179" spans="5:15" x14ac:dyDescent="0.25">
      <c r="E179" s="1" t="s">
        <v>22</v>
      </c>
      <c r="F179" s="1" t="s">
        <v>22</v>
      </c>
      <c r="G179" s="1" t="s">
        <v>21</v>
      </c>
      <c r="H179" s="168">
        <v>171</v>
      </c>
      <c r="I179" s="1">
        <v>170</v>
      </c>
      <c r="J179" s="1">
        <v>170</v>
      </c>
      <c r="K179" s="1">
        <v>255</v>
      </c>
      <c r="O179" s="253"/>
    </row>
    <row r="180" spans="5:15" x14ac:dyDescent="0.25">
      <c r="E180" s="1">
        <v>0</v>
      </c>
      <c r="F180" s="1">
        <v>0</v>
      </c>
      <c r="G180" s="1" t="s">
        <v>23</v>
      </c>
      <c r="H180" s="169">
        <v>172</v>
      </c>
      <c r="I180" s="1">
        <v>0</v>
      </c>
      <c r="J180" s="1">
        <v>0</v>
      </c>
      <c r="K180" s="1">
        <v>189</v>
      </c>
      <c r="O180" s="253"/>
    </row>
    <row r="181" spans="5:15" x14ac:dyDescent="0.25">
      <c r="E181" s="1" t="s">
        <v>24</v>
      </c>
      <c r="F181" s="1" t="s">
        <v>24</v>
      </c>
      <c r="G181" s="1" t="s">
        <v>23</v>
      </c>
      <c r="H181" s="170">
        <v>173</v>
      </c>
      <c r="I181" s="1">
        <v>126</v>
      </c>
      <c r="J181" s="1">
        <v>126</v>
      </c>
      <c r="K181" s="1">
        <v>189</v>
      </c>
      <c r="O181" s="253"/>
    </row>
    <row r="182" spans="5:15" x14ac:dyDescent="0.25">
      <c r="E182" s="1">
        <v>0</v>
      </c>
      <c r="F182" s="1">
        <v>0</v>
      </c>
      <c r="G182" s="1">
        <v>81</v>
      </c>
      <c r="H182" s="171">
        <v>174</v>
      </c>
      <c r="I182" s="1">
        <v>0</v>
      </c>
      <c r="J182" s="1">
        <v>0</v>
      </c>
      <c r="K182" s="1">
        <v>129</v>
      </c>
      <c r="O182" s="253"/>
    </row>
    <row r="183" spans="5:15" x14ac:dyDescent="0.25">
      <c r="E183" s="1">
        <v>56</v>
      </c>
      <c r="F183" s="1">
        <v>56</v>
      </c>
      <c r="G183" s="1">
        <v>81</v>
      </c>
      <c r="H183" s="172">
        <v>175</v>
      </c>
      <c r="I183" s="1">
        <v>86</v>
      </c>
      <c r="J183" s="1">
        <v>86</v>
      </c>
      <c r="K183" s="1">
        <v>129</v>
      </c>
      <c r="O183" s="253"/>
    </row>
    <row r="184" spans="5:15" x14ac:dyDescent="0.25">
      <c r="E184" s="1">
        <v>0</v>
      </c>
      <c r="F184" s="1">
        <v>0</v>
      </c>
      <c r="G184" s="1">
        <v>68</v>
      </c>
      <c r="H184" s="173">
        <v>176</v>
      </c>
      <c r="I184" s="1">
        <v>0</v>
      </c>
      <c r="J184" s="1">
        <v>0</v>
      </c>
      <c r="K184" s="1">
        <v>104</v>
      </c>
      <c r="O184" s="253"/>
    </row>
    <row r="185" spans="5:15" x14ac:dyDescent="0.25">
      <c r="E185" s="1">
        <v>45</v>
      </c>
      <c r="F185" s="1">
        <v>45</v>
      </c>
      <c r="G185" s="1">
        <v>68</v>
      </c>
      <c r="H185" s="174">
        <v>177</v>
      </c>
      <c r="I185" s="1">
        <v>69</v>
      </c>
      <c r="J185" s="1">
        <v>69</v>
      </c>
      <c r="K185" s="1">
        <v>104</v>
      </c>
      <c r="O185" s="253"/>
    </row>
    <row r="186" spans="5:15" x14ac:dyDescent="0.25">
      <c r="E186" s="1">
        <v>0</v>
      </c>
      <c r="F186" s="1">
        <v>0</v>
      </c>
      <c r="G186" s="1" t="s">
        <v>25</v>
      </c>
      <c r="H186" s="175">
        <v>178</v>
      </c>
      <c r="I186" s="1">
        <v>0</v>
      </c>
      <c r="J186" s="1">
        <v>0</v>
      </c>
      <c r="K186" s="1">
        <v>79</v>
      </c>
      <c r="O186" s="253"/>
    </row>
    <row r="187" spans="5:15" x14ac:dyDescent="0.25">
      <c r="E187" s="1">
        <v>35</v>
      </c>
      <c r="F187" s="1">
        <v>35</v>
      </c>
      <c r="G187" s="1" t="s">
        <v>25</v>
      </c>
      <c r="H187" s="176">
        <v>179</v>
      </c>
      <c r="I187" s="1">
        <v>53</v>
      </c>
      <c r="J187" s="1">
        <v>53</v>
      </c>
      <c r="K187" s="1">
        <v>79</v>
      </c>
      <c r="O187" s="253"/>
    </row>
    <row r="188" spans="5:15" x14ac:dyDescent="0.25">
      <c r="E188" s="1" t="s">
        <v>26</v>
      </c>
      <c r="F188" s="1">
        <v>0</v>
      </c>
      <c r="G188" s="1" t="s">
        <v>21</v>
      </c>
      <c r="H188" s="177">
        <v>180</v>
      </c>
      <c r="I188" s="1">
        <v>63</v>
      </c>
      <c r="J188" s="1">
        <v>0</v>
      </c>
      <c r="K188" s="1">
        <v>255</v>
      </c>
      <c r="O188" s="253"/>
    </row>
    <row r="189" spans="5:15" x14ac:dyDescent="0.25">
      <c r="E189" s="1" t="s">
        <v>27</v>
      </c>
      <c r="F189" s="1" t="s">
        <v>22</v>
      </c>
      <c r="G189" s="1" t="s">
        <v>21</v>
      </c>
      <c r="H189" s="178">
        <v>181</v>
      </c>
      <c r="I189" s="1">
        <v>191</v>
      </c>
      <c r="J189" s="1">
        <v>170</v>
      </c>
      <c r="K189" s="1">
        <v>255</v>
      </c>
      <c r="O189" s="253"/>
    </row>
    <row r="190" spans="5:15" x14ac:dyDescent="0.25">
      <c r="E190" s="1" t="s">
        <v>28</v>
      </c>
      <c r="F190" s="1">
        <v>0</v>
      </c>
      <c r="G190" s="1" t="s">
        <v>23</v>
      </c>
      <c r="H190" s="179">
        <v>182</v>
      </c>
      <c r="I190" s="1">
        <v>46</v>
      </c>
      <c r="J190" s="1">
        <v>0</v>
      </c>
      <c r="K190" s="1">
        <v>189</v>
      </c>
      <c r="O190" s="253"/>
    </row>
    <row r="191" spans="5:15" x14ac:dyDescent="0.25">
      <c r="E191" s="1" t="s">
        <v>29</v>
      </c>
      <c r="F191" s="1" t="s">
        <v>24</v>
      </c>
      <c r="G191" s="1" t="s">
        <v>23</v>
      </c>
      <c r="H191" s="180">
        <v>183</v>
      </c>
      <c r="I191" s="1">
        <v>141</v>
      </c>
      <c r="J191" s="1">
        <v>126</v>
      </c>
      <c r="K191" s="1">
        <v>189</v>
      </c>
      <c r="O191" s="253"/>
    </row>
    <row r="192" spans="5:15" x14ac:dyDescent="0.25">
      <c r="E192" s="1" t="s">
        <v>30</v>
      </c>
      <c r="F192" s="1">
        <v>0</v>
      </c>
      <c r="G192" s="1">
        <v>81</v>
      </c>
      <c r="H192" s="181">
        <v>184</v>
      </c>
      <c r="I192" s="1">
        <v>31</v>
      </c>
      <c r="J192" s="1">
        <v>0</v>
      </c>
      <c r="K192" s="1">
        <v>129</v>
      </c>
      <c r="O192" s="253"/>
    </row>
    <row r="193" spans="5:15" x14ac:dyDescent="0.25">
      <c r="E193" s="1">
        <v>60</v>
      </c>
      <c r="F193" s="1">
        <v>56</v>
      </c>
      <c r="G193" s="1">
        <v>81</v>
      </c>
      <c r="H193" s="182">
        <v>185</v>
      </c>
      <c r="I193" s="1">
        <v>96</v>
      </c>
      <c r="J193" s="1">
        <v>86</v>
      </c>
      <c r="K193" s="1">
        <v>129</v>
      </c>
      <c r="O193" s="253"/>
    </row>
    <row r="194" spans="5:15" x14ac:dyDescent="0.25">
      <c r="E194" s="1">
        <v>19</v>
      </c>
      <c r="F194" s="1">
        <v>0</v>
      </c>
      <c r="G194" s="1">
        <v>68</v>
      </c>
      <c r="H194" s="183">
        <v>186</v>
      </c>
      <c r="I194" s="1">
        <v>25</v>
      </c>
      <c r="J194" s="1">
        <v>0</v>
      </c>
      <c r="K194" s="1">
        <v>104</v>
      </c>
      <c r="O194" s="253"/>
    </row>
    <row r="195" spans="5:15" x14ac:dyDescent="0.25">
      <c r="E195" s="1" t="s">
        <v>31</v>
      </c>
      <c r="F195" s="1">
        <v>45</v>
      </c>
      <c r="G195" s="1">
        <v>68</v>
      </c>
      <c r="H195" s="184">
        <v>187</v>
      </c>
      <c r="I195" s="1">
        <v>78</v>
      </c>
      <c r="J195" s="1">
        <v>69</v>
      </c>
      <c r="K195" s="1">
        <v>104</v>
      </c>
      <c r="O195" s="253"/>
    </row>
    <row r="196" spans="5:15" x14ac:dyDescent="0.25">
      <c r="E196" s="1">
        <v>13</v>
      </c>
      <c r="F196" s="1">
        <v>0</v>
      </c>
      <c r="G196" s="1" t="s">
        <v>25</v>
      </c>
      <c r="H196" s="185">
        <v>188</v>
      </c>
      <c r="I196" s="1">
        <v>19</v>
      </c>
      <c r="J196" s="1">
        <v>0</v>
      </c>
      <c r="K196" s="1">
        <v>79</v>
      </c>
      <c r="O196" s="253"/>
    </row>
    <row r="197" spans="5:15" x14ac:dyDescent="0.25">
      <c r="E197" s="1" t="s">
        <v>32</v>
      </c>
      <c r="F197" s="1">
        <v>35</v>
      </c>
      <c r="G197" s="1" t="s">
        <v>25</v>
      </c>
      <c r="H197" s="186">
        <v>189</v>
      </c>
      <c r="I197" s="1">
        <v>59</v>
      </c>
      <c r="J197" s="1">
        <v>53</v>
      </c>
      <c r="K197" s="1">
        <v>79</v>
      </c>
      <c r="O197" s="253"/>
    </row>
    <row r="198" spans="5:15" x14ac:dyDescent="0.25">
      <c r="E198" s="1" t="s">
        <v>33</v>
      </c>
      <c r="F198" s="1">
        <v>0</v>
      </c>
      <c r="G198" s="1" t="s">
        <v>21</v>
      </c>
      <c r="H198" s="187">
        <v>190</v>
      </c>
      <c r="I198" s="1">
        <v>127</v>
      </c>
      <c r="J198" s="1">
        <v>0</v>
      </c>
      <c r="K198" s="1">
        <v>255</v>
      </c>
      <c r="O198" s="253"/>
    </row>
    <row r="199" spans="5:15" x14ac:dyDescent="0.25">
      <c r="E199" s="1" t="s">
        <v>34</v>
      </c>
      <c r="F199" s="1" t="s">
        <v>22</v>
      </c>
      <c r="G199" s="1" t="s">
        <v>21</v>
      </c>
      <c r="H199" s="188">
        <v>191</v>
      </c>
      <c r="I199" s="1">
        <v>212</v>
      </c>
      <c r="J199" s="1">
        <v>170</v>
      </c>
      <c r="K199" s="1">
        <v>255</v>
      </c>
      <c r="O199" s="253"/>
    </row>
    <row r="200" spans="5:15" x14ac:dyDescent="0.25">
      <c r="E200" s="1" t="s">
        <v>35</v>
      </c>
      <c r="F200" s="1">
        <v>0</v>
      </c>
      <c r="G200" s="1" t="s">
        <v>23</v>
      </c>
      <c r="H200" s="189">
        <v>192</v>
      </c>
      <c r="I200" s="1">
        <v>94</v>
      </c>
      <c r="J200" s="1">
        <v>0</v>
      </c>
      <c r="K200" s="1">
        <v>189</v>
      </c>
      <c r="O200" s="253"/>
    </row>
    <row r="201" spans="5:15" x14ac:dyDescent="0.25">
      <c r="E201" s="1" t="s">
        <v>36</v>
      </c>
      <c r="F201" s="1" t="s">
        <v>24</v>
      </c>
      <c r="G201" s="1" t="s">
        <v>23</v>
      </c>
      <c r="H201" s="190">
        <v>193</v>
      </c>
      <c r="I201" s="1">
        <v>157</v>
      </c>
      <c r="J201" s="1">
        <v>126</v>
      </c>
      <c r="K201" s="1">
        <v>189</v>
      </c>
      <c r="O201" s="253"/>
    </row>
    <row r="202" spans="5:15" x14ac:dyDescent="0.25">
      <c r="E202" s="1">
        <v>40</v>
      </c>
      <c r="F202" s="1">
        <v>0</v>
      </c>
      <c r="G202" s="1">
        <v>81</v>
      </c>
      <c r="H202" s="191">
        <v>194</v>
      </c>
      <c r="I202" s="1">
        <v>64</v>
      </c>
      <c r="J202" s="1">
        <v>0</v>
      </c>
      <c r="K202" s="1">
        <v>129</v>
      </c>
      <c r="O202" s="253"/>
    </row>
    <row r="203" spans="5:15" x14ac:dyDescent="0.25">
      <c r="E203" s="1" t="s">
        <v>37</v>
      </c>
      <c r="F203" s="1">
        <v>56</v>
      </c>
      <c r="G203" s="1">
        <v>81</v>
      </c>
      <c r="H203" s="192">
        <v>195</v>
      </c>
      <c r="I203" s="1">
        <v>107</v>
      </c>
      <c r="J203" s="1">
        <v>86</v>
      </c>
      <c r="K203" s="1">
        <v>129</v>
      </c>
      <c r="O203" s="253"/>
    </row>
    <row r="204" spans="5:15" x14ac:dyDescent="0.25">
      <c r="E204" s="1">
        <v>34</v>
      </c>
      <c r="F204" s="1">
        <v>0</v>
      </c>
      <c r="G204" s="1">
        <v>68</v>
      </c>
      <c r="H204" s="193">
        <v>196</v>
      </c>
      <c r="I204" s="1">
        <v>52</v>
      </c>
      <c r="J204" s="1">
        <v>0</v>
      </c>
      <c r="K204" s="1">
        <v>104</v>
      </c>
      <c r="O204" s="253"/>
    </row>
    <row r="205" spans="5:15" x14ac:dyDescent="0.25">
      <c r="E205" s="1">
        <v>56</v>
      </c>
      <c r="F205" s="1">
        <v>45</v>
      </c>
      <c r="G205" s="1">
        <v>68</v>
      </c>
      <c r="H205" s="194">
        <v>197</v>
      </c>
      <c r="I205" s="1">
        <v>86</v>
      </c>
      <c r="J205" s="1">
        <v>69</v>
      </c>
      <c r="K205" s="1">
        <v>104</v>
      </c>
      <c r="O205" s="253"/>
    </row>
    <row r="206" spans="5:15" x14ac:dyDescent="0.25">
      <c r="E206" s="1">
        <v>27</v>
      </c>
      <c r="F206" s="1">
        <v>0</v>
      </c>
      <c r="G206" s="1" t="s">
        <v>25</v>
      </c>
      <c r="H206" s="195">
        <v>198</v>
      </c>
      <c r="I206" s="1">
        <v>39</v>
      </c>
      <c r="J206" s="1">
        <v>0</v>
      </c>
      <c r="K206" s="1">
        <v>79</v>
      </c>
      <c r="O206" s="253"/>
    </row>
    <row r="207" spans="5:15" x14ac:dyDescent="0.25">
      <c r="E207" s="1">
        <v>42</v>
      </c>
      <c r="F207" s="1">
        <v>35</v>
      </c>
      <c r="G207" s="1" t="s">
        <v>25</v>
      </c>
      <c r="H207" s="196">
        <v>199</v>
      </c>
      <c r="I207" s="1">
        <v>66</v>
      </c>
      <c r="J207" s="1">
        <v>53</v>
      </c>
      <c r="K207" s="1">
        <v>79</v>
      </c>
      <c r="O207" s="253"/>
    </row>
    <row r="208" spans="5:15" x14ac:dyDescent="0.25">
      <c r="E208" s="1" t="s">
        <v>27</v>
      </c>
      <c r="F208" s="1">
        <v>0</v>
      </c>
      <c r="G208" s="1" t="s">
        <v>21</v>
      </c>
      <c r="H208" s="197">
        <v>200</v>
      </c>
      <c r="I208" s="1">
        <v>191</v>
      </c>
      <c r="J208" s="1">
        <v>0</v>
      </c>
      <c r="K208" s="1">
        <v>255</v>
      </c>
      <c r="O208" s="253"/>
    </row>
    <row r="209" spans="5:15" x14ac:dyDescent="0.25">
      <c r="E209" s="1" t="s">
        <v>38</v>
      </c>
      <c r="F209" s="1" t="s">
        <v>22</v>
      </c>
      <c r="G209" s="1" t="s">
        <v>21</v>
      </c>
      <c r="H209" s="198">
        <v>201</v>
      </c>
      <c r="I209" s="1">
        <v>234</v>
      </c>
      <c r="J209" s="1">
        <v>170</v>
      </c>
      <c r="K209" s="1">
        <v>255</v>
      </c>
      <c r="O209" s="253"/>
    </row>
    <row r="210" spans="5:15" x14ac:dyDescent="0.25">
      <c r="E210" s="1" t="s">
        <v>29</v>
      </c>
      <c r="F210" s="1">
        <v>0</v>
      </c>
      <c r="G210" s="1" t="s">
        <v>23</v>
      </c>
      <c r="H210" s="199">
        <v>202</v>
      </c>
      <c r="I210" s="1">
        <v>141</v>
      </c>
      <c r="J210" s="1">
        <v>0</v>
      </c>
      <c r="K210" s="1">
        <v>189</v>
      </c>
      <c r="O210" s="253"/>
    </row>
    <row r="211" spans="5:15" x14ac:dyDescent="0.25">
      <c r="E211" s="1" t="s">
        <v>39</v>
      </c>
      <c r="F211" s="1" t="s">
        <v>24</v>
      </c>
      <c r="G211" s="1" t="s">
        <v>23</v>
      </c>
      <c r="H211" s="200">
        <v>203</v>
      </c>
      <c r="I211" s="1">
        <v>173</v>
      </c>
      <c r="J211" s="1">
        <v>126</v>
      </c>
      <c r="K211" s="1">
        <v>189</v>
      </c>
      <c r="O211" s="253"/>
    </row>
    <row r="212" spans="5:15" x14ac:dyDescent="0.25">
      <c r="E212" s="1">
        <v>60</v>
      </c>
      <c r="F212" s="1">
        <v>0</v>
      </c>
      <c r="G212" s="1">
        <v>81</v>
      </c>
      <c r="H212" s="201">
        <v>204</v>
      </c>
      <c r="I212" s="1">
        <v>96</v>
      </c>
      <c r="J212" s="1">
        <v>0</v>
      </c>
      <c r="K212" s="1">
        <v>129</v>
      </c>
      <c r="O212" s="253"/>
    </row>
    <row r="213" spans="5:15" x14ac:dyDescent="0.25">
      <c r="E213" s="1">
        <v>76</v>
      </c>
      <c r="F213" s="1">
        <v>56</v>
      </c>
      <c r="G213" s="1">
        <v>81</v>
      </c>
      <c r="H213" s="202">
        <v>205</v>
      </c>
      <c r="I213" s="1">
        <v>118</v>
      </c>
      <c r="J213" s="1">
        <v>86</v>
      </c>
      <c r="K213" s="1">
        <v>129</v>
      </c>
      <c r="O213" s="253"/>
    </row>
    <row r="214" spans="5:15" x14ac:dyDescent="0.25">
      <c r="E214" s="1" t="s">
        <v>31</v>
      </c>
      <c r="F214" s="1">
        <v>0</v>
      </c>
      <c r="G214" s="1">
        <v>68</v>
      </c>
      <c r="H214" s="203">
        <v>206</v>
      </c>
      <c r="I214" s="1">
        <v>78</v>
      </c>
      <c r="J214" s="1">
        <v>0</v>
      </c>
      <c r="K214" s="1">
        <v>104</v>
      </c>
      <c r="O214" s="253"/>
    </row>
    <row r="215" spans="5:15" x14ac:dyDescent="0.25">
      <c r="E215" s="1" t="s">
        <v>40</v>
      </c>
      <c r="F215" s="1">
        <v>45</v>
      </c>
      <c r="G215" s="1">
        <v>68</v>
      </c>
      <c r="H215" s="204">
        <v>207</v>
      </c>
      <c r="I215" s="1">
        <v>95</v>
      </c>
      <c r="J215" s="1">
        <v>69</v>
      </c>
      <c r="K215" s="1">
        <v>104</v>
      </c>
      <c r="O215" s="253"/>
    </row>
    <row r="216" spans="5:15" x14ac:dyDescent="0.25">
      <c r="E216" s="1" t="s">
        <v>32</v>
      </c>
      <c r="F216" s="1">
        <v>0</v>
      </c>
      <c r="G216" s="1" t="s">
        <v>25</v>
      </c>
      <c r="H216" s="205">
        <v>208</v>
      </c>
      <c r="I216" s="1">
        <v>59</v>
      </c>
      <c r="J216" s="1">
        <v>0</v>
      </c>
      <c r="K216" s="1">
        <v>79</v>
      </c>
      <c r="O216" s="253"/>
    </row>
    <row r="217" spans="5:15" x14ac:dyDescent="0.25">
      <c r="E217" s="1">
        <v>49</v>
      </c>
      <c r="F217" s="1">
        <v>35</v>
      </c>
      <c r="G217" s="1" t="s">
        <v>25</v>
      </c>
      <c r="H217" s="206">
        <v>209</v>
      </c>
      <c r="I217" s="1">
        <v>73</v>
      </c>
      <c r="J217" s="1">
        <v>53</v>
      </c>
      <c r="K217" s="1">
        <v>79</v>
      </c>
      <c r="O217" s="253"/>
    </row>
    <row r="218" spans="5:15" x14ac:dyDescent="0.25">
      <c r="E218" s="1" t="s">
        <v>21</v>
      </c>
      <c r="F218" s="1">
        <v>0</v>
      </c>
      <c r="G218" s="1" t="s">
        <v>21</v>
      </c>
      <c r="H218" s="8">
        <v>210</v>
      </c>
      <c r="I218" s="1">
        <v>255</v>
      </c>
      <c r="J218" s="1">
        <v>0</v>
      </c>
      <c r="K218" s="1">
        <v>255</v>
      </c>
      <c r="O218" s="253"/>
    </row>
    <row r="219" spans="5:15" x14ac:dyDescent="0.25">
      <c r="E219" s="1" t="s">
        <v>21</v>
      </c>
      <c r="F219" s="1" t="s">
        <v>22</v>
      </c>
      <c r="G219" s="1" t="s">
        <v>21</v>
      </c>
      <c r="H219" s="207">
        <v>211</v>
      </c>
      <c r="I219" s="1">
        <v>255</v>
      </c>
      <c r="J219" s="1">
        <v>170</v>
      </c>
      <c r="K219" s="1">
        <v>255</v>
      </c>
      <c r="O219" s="253"/>
    </row>
    <row r="220" spans="5:15" x14ac:dyDescent="0.25">
      <c r="E220" s="1" t="s">
        <v>23</v>
      </c>
      <c r="F220" s="1">
        <v>0</v>
      </c>
      <c r="G220" s="1" t="s">
        <v>23</v>
      </c>
      <c r="H220" s="208">
        <v>212</v>
      </c>
      <c r="I220" s="1">
        <v>189</v>
      </c>
      <c r="J220" s="1">
        <v>0</v>
      </c>
      <c r="K220" s="1">
        <v>189</v>
      </c>
      <c r="O220" s="253"/>
    </row>
    <row r="221" spans="5:15" x14ac:dyDescent="0.25">
      <c r="E221" s="1" t="s">
        <v>23</v>
      </c>
      <c r="F221" s="1" t="s">
        <v>24</v>
      </c>
      <c r="G221" s="1" t="s">
        <v>23</v>
      </c>
      <c r="H221" s="209">
        <v>213</v>
      </c>
      <c r="I221" s="1">
        <v>189</v>
      </c>
      <c r="J221" s="1">
        <v>126</v>
      </c>
      <c r="K221" s="1">
        <v>189</v>
      </c>
      <c r="O221" s="253"/>
    </row>
    <row r="222" spans="5:15" x14ac:dyDescent="0.25">
      <c r="E222" s="1">
        <v>81</v>
      </c>
      <c r="F222" s="1">
        <v>0</v>
      </c>
      <c r="G222" s="1">
        <v>81</v>
      </c>
      <c r="H222" s="210">
        <v>214</v>
      </c>
      <c r="I222" s="1">
        <v>129</v>
      </c>
      <c r="J222" s="1">
        <v>0</v>
      </c>
      <c r="K222" s="1">
        <v>129</v>
      </c>
      <c r="O222" s="253"/>
    </row>
    <row r="223" spans="5:15" x14ac:dyDescent="0.25">
      <c r="E223" s="1">
        <v>81</v>
      </c>
      <c r="F223" s="1">
        <v>56</v>
      </c>
      <c r="G223" s="1">
        <v>81</v>
      </c>
      <c r="H223" s="211">
        <v>215</v>
      </c>
      <c r="I223" s="1">
        <v>129</v>
      </c>
      <c r="J223" s="1">
        <v>86</v>
      </c>
      <c r="K223" s="1">
        <v>129</v>
      </c>
      <c r="O223" s="253"/>
    </row>
    <row r="224" spans="5:15" x14ac:dyDescent="0.25">
      <c r="E224" s="1">
        <v>68</v>
      </c>
      <c r="F224" s="1">
        <v>0</v>
      </c>
      <c r="G224" s="1">
        <v>68</v>
      </c>
      <c r="H224" s="212">
        <v>216</v>
      </c>
      <c r="I224" s="1">
        <v>104</v>
      </c>
      <c r="J224" s="1">
        <v>0</v>
      </c>
      <c r="K224" s="1">
        <v>104</v>
      </c>
      <c r="O224" s="253"/>
    </row>
    <row r="225" spans="5:15" x14ac:dyDescent="0.25">
      <c r="E225" s="1">
        <v>68</v>
      </c>
      <c r="F225" s="1">
        <v>45</v>
      </c>
      <c r="G225" s="1">
        <v>68</v>
      </c>
      <c r="H225" s="213">
        <v>217</v>
      </c>
      <c r="I225" s="1">
        <v>104</v>
      </c>
      <c r="J225" s="1">
        <v>69</v>
      </c>
      <c r="K225" s="1">
        <v>104</v>
      </c>
      <c r="O225" s="253"/>
    </row>
    <row r="226" spans="5:15" x14ac:dyDescent="0.25">
      <c r="E226" s="1" t="s">
        <v>25</v>
      </c>
      <c r="F226" s="1">
        <v>0</v>
      </c>
      <c r="G226" s="1" t="s">
        <v>25</v>
      </c>
      <c r="H226" s="214">
        <v>218</v>
      </c>
      <c r="I226" s="1">
        <v>79</v>
      </c>
      <c r="J226" s="1">
        <v>0</v>
      </c>
      <c r="K226" s="1">
        <v>79</v>
      </c>
      <c r="O226" s="253"/>
    </row>
    <row r="227" spans="5:15" x14ac:dyDescent="0.25">
      <c r="E227" s="1" t="s">
        <v>25</v>
      </c>
      <c r="F227" s="1">
        <v>35</v>
      </c>
      <c r="G227" s="1" t="s">
        <v>25</v>
      </c>
      <c r="H227" s="215">
        <v>219</v>
      </c>
      <c r="I227" s="1">
        <v>79</v>
      </c>
      <c r="J227" s="1">
        <v>53</v>
      </c>
      <c r="K227" s="1">
        <v>79</v>
      </c>
      <c r="O227" s="253"/>
    </row>
    <row r="228" spans="5:15" x14ac:dyDescent="0.25">
      <c r="E228" s="1" t="s">
        <v>21</v>
      </c>
      <c r="F228" s="1">
        <v>0</v>
      </c>
      <c r="G228" s="1" t="s">
        <v>27</v>
      </c>
      <c r="H228" s="216">
        <v>220</v>
      </c>
      <c r="I228" s="1">
        <v>255</v>
      </c>
      <c r="J228" s="1">
        <v>0</v>
      </c>
      <c r="K228" s="1">
        <v>191</v>
      </c>
      <c r="O228" s="253"/>
    </row>
    <row r="229" spans="5:15" x14ac:dyDescent="0.25">
      <c r="E229" s="1" t="s">
        <v>21</v>
      </c>
      <c r="F229" s="1" t="s">
        <v>22</v>
      </c>
      <c r="G229" s="1" t="s">
        <v>38</v>
      </c>
      <c r="H229" s="217">
        <v>221</v>
      </c>
      <c r="I229" s="1">
        <v>255</v>
      </c>
      <c r="J229" s="1">
        <v>170</v>
      </c>
      <c r="K229" s="1">
        <v>234</v>
      </c>
      <c r="O229" s="253"/>
    </row>
    <row r="230" spans="5:15" x14ac:dyDescent="0.25">
      <c r="E230" s="1" t="s">
        <v>23</v>
      </c>
      <c r="F230" s="1">
        <v>0</v>
      </c>
      <c r="G230" s="1" t="s">
        <v>29</v>
      </c>
      <c r="H230" s="218">
        <v>222</v>
      </c>
      <c r="I230" s="1">
        <v>189</v>
      </c>
      <c r="J230" s="1">
        <v>0</v>
      </c>
      <c r="K230" s="1">
        <v>141</v>
      </c>
      <c r="O230" s="253"/>
    </row>
    <row r="231" spans="5:15" x14ac:dyDescent="0.25">
      <c r="E231" s="1" t="s">
        <v>23</v>
      </c>
      <c r="F231" s="1" t="s">
        <v>24</v>
      </c>
      <c r="G231" s="1" t="s">
        <v>39</v>
      </c>
      <c r="H231" s="219">
        <v>223</v>
      </c>
      <c r="I231" s="1">
        <v>189</v>
      </c>
      <c r="J231" s="1">
        <v>126</v>
      </c>
      <c r="K231" s="1">
        <v>173</v>
      </c>
      <c r="O231" s="253"/>
    </row>
    <row r="232" spans="5:15" x14ac:dyDescent="0.25">
      <c r="E232" s="1">
        <v>81</v>
      </c>
      <c r="F232" s="1">
        <v>0</v>
      </c>
      <c r="G232" s="1">
        <v>60</v>
      </c>
      <c r="H232" s="220">
        <v>224</v>
      </c>
      <c r="I232" s="1">
        <v>129</v>
      </c>
      <c r="J232" s="1">
        <v>0</v>
      </c>
      <c r="K232" s="1">
        <v>96</v>
      </c>
      <c r="O232" s="253"/>
    </row>
    <row r="233" spans="5:15" x14ac:dyDescent="0.25">
      <c r="E233" s="1">
        <v>81</v>
      </c>
      <c r="F233" s="1">
        <v>56</v>
      </c>
      <c r="G233" s="1">
        <v>76</v>
      </c>
      <c r="H233" s="221">
        <v>225</v>
      </c>
      <c r="I233" s="1">
        <v>129</v>
      </c>
      <c r="J233" s="1">
        <v>86</v>
      </c>
      <c r="K233" s="1">
        <v>118</v>
      </c>
      <c r="O233" s="253"/>
    </row>
    <row r="234" spans="5:15" x14ac:dyDescent="0.25">
      <c r="E234" s="1">
        <v>68</v>
      </c>
      <c r="F234" s="1">
        <v>0</v>
      </c>
      <c r="G234" s="1" t="s">
        <v>31</v>
      </c>
      <c r="H234" s="222">
        <v>226</v>
      </c>
      <c r="I234" s="1">
        <v>104</v>
      </c>
      <c r="J234" s="1">
        <v>0</v>
      </c>
      <c r="K234" s="1">
        <v>78</v>
      </c>
      <c r="O234" s="253"/>
    </row>
    <row r="235" spans="5:15" x14ac:dyDescent="0.25">
      <c r="E235" s="1">
        <v>68</v>
      </c>
      <c r="F235" s="1">
        <v>45</v>
      </c>
      <c r="G235" s="1" t="s">
        <v>40</v>
      </c>
      <c r="H235" s="223">
        <v>227</v>
      </c>
      <c r="I235" s="1">
        <v>104</v>
      </c>
      <c r="J235" s="1">
        <v>69</v>
      </c>
      <c r="K235" s="1">
        <v>95</v>
      </c>
      <c r="O235" s="253"/>
    </row>
    <row r="236" spans="5:15" x14ac:dyDescent="0.25">
      <c r="E236" s="1" t="s">
        <v>25</v>
      </c>
      <c r="F236" s="1">
        <v>0</v>
      </c>
      <c r="G236" s="1" t="s">
        <v>32</v>
      </c>
      <c r="H236" s="224">
        <v>228</v>
      </c>
      <c r="I236" s="1">
        <v>79</v>
      </c>
      <c r="J236" s="1">
        <v>0</v>
      </c>
      <c r="K236" s="1">
        <v>59</v>
      </c>
      <c r="O236" s="253"/>
    </row>
    <row r="237" spans="5:15" x14ac:dyDescent="0.25">
      <c r="E237" s="1" t="s">
        <v>25</v>
      </c>
      <c r="F237" s="1">
        <v>35</v>
      </c>
      <c r="G237" s="1">
        <v>49</v>
      </c>
      <c r="H237" s="225">
        <v>229</v>
      </c>
      <c r="I237" s="1">
        <v>79</v>
      </c>
      <c r="J237" s="1">
        <v>53</v>
      </c>
      <c r="K237" s="1">
        <v>73</v>
      </c>
      <c r="O237" s="253"/>
    </row>
    <row r="238" spans="5:15" x14ac:dyDescent="0.25">
      <c r="E238" s="1" t="s">
        <v>21</v>
      </c>
      <c r="F238" s="1">
        <v>0</v>
      </c>
      <c r="G238" s="1" t="s">
        <v>33</v>
      </c>
      <c r="H238" s="226">
        <v>230</v>
      </c>
      <c r="I238" s="1">
        <v>255</v>
      </c>
      <c r="J238" s="1">
        <v>0</v>
      </c>
      <c r="K238" s="1">
        <v>127</v>
      </c>
      <c r="O238" s="253"/>
    </row>
    <row r="239" spans="5:15" x14ac:dyDescent="0.25">
      <c r="E239" s="1" t="s">
        <v>21</v>
      </c>
      <c r="F239" s="1" t="s">
        <v>22</v>
      </c>
      <c r="G239" s="1" t="s">
        <v>34</v>
      </c>
      <c r="H239" s="227">
        <v>231</v>
      </c>
      <c r="I239" s="1">
        <v>255</v>
      </c>
      <c r="J239" s="1">
        <v>170</v>
      </c>
      <c r="K239" s="1">
        <v>212</v>
      </c>
      <c r="O239" s="253"/>
    </row>
    <row r="240" spans="5:15" x14ac:dyDescent="0.25">
      <c r="E240" s="1" t="s">
        <v>23</v>
      </c>
      <c r="F240" s="1">
        <v>0</v>
      </c>
      <c r="G240" s="1" t="s">
        <v>35</v>
      </c>
      <c r="H240" s="228">
        <v>232</v>
      </c>
      <c r="I240" s="1">
        <v>189</v>
      </c>
      <c r="J240" s="1">
        <v>0</v>
      </c>
      <c r="K240" s="1">
        <v>94</v>
      </c>
      <c r="O240" s="253"/>
    </row>
    <row r="241" spans="5:15" x14ac:dyDescent="0.25">
      <c r="E241" s="1" t="s">
        <v>23</v>
      </c>
      <c r="F241" s="1" t="s">
        <v>24</v>
      </c>
      <c r="G241" s="1" t="s">
        <v>36</v>
      </c>
      <c r="H241" s="229">
        <v>233</v>
      </c>
      <c r="I241" s="1">
        <v>189</v>
      </c>
      <c r="J241" s="1">
        <v>126</v>
      </c>
      <c r="K241" s="1">
        <v>157</v>
      </c>
      <c r="O241" s="253"/>
    </row>
    <row r="242" spans="5:15" x14ac:dyDescent="0.25">
      <c r="E242" s="1">
        <v>81</v>
      </c>
      <c r="F242" s="1">
        <v>0</v>
      </c>
      <c r="G242" s="1">
        <v>40</v>
      </c>
      <c r="H242" s="230">
        <v>234</v>
      </c>
      <c r="I242" s="1">
        <v>129</v>
      </c>
      <c r="J242" s="1">
        <v>0</v>
      </c>
      <c r="K242" s="1">
        <v>64</v>
      </c>
      <c r="O242" s="253"/>
    </row>
    <row r="243" spans="5:15" x14ac:dyDescent="0.25">
      <c r="E243" s="1">
        <v>81</v>
      </c>
      <c r="F243" s="1">
        <v>56</v>
      </c>
      <c r="G243" s="1" t="s">
        <v>37</v>
      </c>
      <c r="H243" s="231">
        <v>235</v>
      </c>
      <c r="I243" s="1">
        <v>129</v>
      </c>
      <c r="J243" s="1">
        <v>86</v>
      </c>
      <c r="K243" s="1">
        <v>107</v>
      </c>
      <c r="O243" s="253"/>
    </row>
    <row r="244" spans="5:15" x14ac:dyDescent="0.25">
      <c r="E244" s="1">
        <v>68</v>
      </c>
      <c r="F244" s="1">
        <v>0</v>
      </c>
      <c r="G244" s="1">
        <v>34</v>
      </c>
      <c r="H244" s="232">
        <v>236</v>
      </c>
      <c r="I244" s="1">
        <v>104</v>
      </c>
      <c r="J244" s="1">
        <v>0</v>
      </c>
      <c r="K244" s="1">
        <v>52</v>
      </c>
      <c r="O244" s="253"/>
    </row>
    <row r="245" spans="5:15" x14ac:dyDescent="0.25">
      <c r="E245" s="1">
        <v>68</v>
      </c>
      <c r="F245" s="1">
        <v>45</v>
      </c>
      <c r="G245" s="1">
        <v>56</v>
      </c>
      <c r="H245" s="233">
        <v>237</v>
      </c>
      <c r="I245" s="1">
        <v>104</v>
      </c>
      <c r="J245" s="1">
        <v>69</v>
      </c>
      <c r="K245" s="1">
        <v>86</v>
      </c>
      <c r="O245" s="253"/>
    </row>
    <row r="246" spans="5:15" x14ac:dyDescent="0.25">
      <c r="E246" s="1" t="s">
        <v>25</v>
      </c>
      <c r="F246" s="1">
        <v>0</v>
      </c>
      <c r="G246" s="1">
        <v>27</v>
      </c>
      <c r="H246" s="234">
        <v>238</v>
      </c>
      <c r="I246" s="1">
        <v>79</v>
      </c>
      <c r="J246" s="1">
        <v>0</v>
      </c>
      <c r="K246" s="1">
        <v>39</v>
      </c>
      <c r="O246" s="253"/>
    </row>
    <row r="247" spans="5:15" x14ac:dyDescent="0.25">
      <c r="E247" s="1" t="s">
        <v>25</v>
      </c>
      <c r="F247" s="1">
        <v>35</v>
      </c>
      <c r="G247" s="1">
        <v>42</v>
      </c>
      <c r="H247" s="235">
        <v>239</v>
      </c>
      <c r="I247" s="1">
        <v>79</v>
      </c>
      <c r="J247" s="1">
        <v>53</v>
      </c>
      <c r="K247" s="1">
        <v>66</v>
      </c>
      <c r="O247" s="253"/>
    </row>
    <row r="248" spans="5:15" x14ac:dyDescent="0.25">
      <c r="E248" s="1" t="s">
        <v>21</v>
      </c>
      <c r="F248" s="1">
        <v>0</v>
      </c>
      <c r="G248" s="1" t="s">
        <v>26</v>
      </c>
      <c r="H248" s="236">
        <v>240</v>
      </c>
      <c r="I248" s="1">
        <v>255</v>
      </c>
      <c r="J248" s="1">
        <v>0</v>
      </c>
      <c r="K248" s="1">
        <v>63</v>
      </c>
      <c r="O248" s="253"/>
    </row>
    <row r="249" spans="5:15" x14ac:dyDescent="0.25">
      <c r="E249" s="1" t="s">
        <v>21</v>
      </c>
      <c r="F249" s="1" t="s">
        <v>22</v>
      </c>
      <c r="G249" s="1" t="s">
        <v>27</v>
      </c>
      <c r="H249" s="237">
        <v>241</v>
      </c>
      <c r="I249" s="1">
        <v>255</v>
      </c>
      <c r="J249" s="1">
        <v>170</v>
      </c>
      <c r="K249" s="1">
        <v>191</v>
      </c>
      <c r="O249" s="253"/>
    </row>
    <row r="250" spans="5:15" x14ac:dyDescent="0.25">
      <c r="E250" s="1" t="s">
        <v>23</v>
      </c>
      <c r="F250" s="1">
        <v>0</v>
      </c>
      <c r="G250" s="1" t="s">
        <v>28</v>
      </c>
      <c r="H250" s="238">
        <v>242</v>
      </c>
      <c r="I250" s="1">
        <v>189</v>
      </c>
      <c r="J250" s="1">
        <v>0</v>
      </c>
      <c r="K250" s="1">
        <v>46</v>
      </c>
      <c r="O250" s="253"/>
    </row>
    <row r="251" spans="5:15" x14ac:dyDescent="0.25">
      <c r="E251" s="1" t="s">
        <v>23</v>
      </c>
      <c r="F251" s="1" t="s">
        <v>24</v>
      </c>
      <c r="G251" s="1" t="s">
        <v>29</v>
      </c>
      <c r="H251" s="239">
        <v>243</v>
      </c>
      <c r="I251" s="1">
        <v>189</v>
      </c>
      <c r="J251" s="1">
        <v>126</v>
      </c>
      <c r="K251" s="1">
        <v>141</v>
      </c>
      <c r="O251" s="253"/>
    </row>
    <row r="252" spans="5:15" x14ac:dyDescent="0.25">
      <c r="E252" s="1">
        <v>81</v>
      </c>
      <c r="F252" s="1">
        <v>0</v>
      </c>
      <c r="G252" s="1" t="s">
        <v>30</v>
      </c>
      <c r="H252" s="240">
        <v>244</v>
      </c>
      <c r="I252" s="1">
        <v>129</v>
      </c>
      <c r="J252" s="1">
        <v>0</v>
      </c>
      <c r="K252" s="1">
        <v>31</v>
      </c>
      <c r="O252" s="253"/>
    </row>
    <row r="253" spans="5:15" x14ac:dyDescent="0.25">
      <c r="E253" s="1">
        <v>81</v>
      </c>
      <c r="F253" s="1">
        <v>56</v>
      </c>
      <c r="G253" s="1">
        <v>60</v>
      </c>
      <c r="H253" s="241">
        <v>245</v>
      </c>
      <c r="I253" s="1">
        <v>129</v>
      </c>
      <c r="J253" s="1">
        <v>86</v>
      </c>
      <c r="K253" s="1">
        <v>96</v>
      </c>
      <c r="O253" s="253"/>
    </row>
    <row r="254" spans="5:15" x14ac:dyDescent="0.25">
      <c r="E254" s="1">
        <v>68</v>
      </c>
      <c r="F254" s="1">
        <v>0</v>
      </c>
      <c r="G254" s="1">
        <v>19</v>
      </c>
      <c r="H254" s="242">
        <v>246</v>
      </c>
      <c r="I254" s="1">
        <v>104</v>
      </c>
      <c r="J254" s="1">
        <v>0</v>
      </c>
      <c r="K254" s="1">
        <v>25</v>
      </c>
      <c r="O254" s="253"/>
    </row>
    <row r="255" spans="5:15" x14ac:dyDescent="0.25">
      <c r="E255" s="1">
        <v>68</v>
      </c>
      <c r="F255" s="1">
        <v>45</v>
      </c>
      <c r="G255" s="1" t="s">
        <v>31</v>
      </c>
      <c r="H255" s="243">
        <v>247</v>
      </c>
      <c r="I255" s="1">
        <v>104</v>
      </c>
      <c r="J255" s="1">
        <v>69</v>
      </c>
      <c r="K255" s="1">
        <v>78</v>
      </c>
      <c r="O255" s="253"/>
    </row>
    <row r="256" spans="5:15" x14ac:dyDescent="0.25">
      <c r="E256" s="1" t="s">
        <v>25</v>
      </c>
      <c r="F256" s="1">
        <v>0</v>
      </c>
      <c r="G256" s="1">
        <v>13</v>
      </c>
      <c r="H256" s="244">
        <v>248</v>
      </c>
      <c r="I256" s="1">
        <v>79</v>
      </c>
      <c r="J256" s="1">
        <v>0</v>
      </c>
      <c r="K256" s="1">
        <v>19</v>
      </c>
      <c r="O256" s="253"/>
    </row>
    <row r="257" spans="5:15" x14ac:dyDescent="0.25">
      <c r="E257" s="1" t="s">
        <v>25</v>
      </c>
      <c r="F257" s="1">
        <v>35</v>
      </c>
      <c r="G257" s="1" t="s">
        <v>32</v>
      </c>
      <c r="H257" s="245">
        <v>249</v>
      </c>
      <c r="I257" s="1">
        <v>79</v>
      </c>
      <c r="J257" s="1">
        <v>53</v>
      </c>
      <c r="K257" s="1">
        <v>59</v>
      </c>
      <c r="O257" s="253"/>
    </row>
    <row r="258" spans="5:15" x14ac:dyDescent="0.25">
      <c r="E258" s="1">
        <v>33</v>
      </c>
      <c r="F258" s="1">
        <v>33</v>
      </c>
      <c r="G258" s="1">
        <v>33</v>
      </c>
      <c r="H258" s="246">
        <v>250</v>
      </c>
      <c r="I258" s="1">
        <v>51</v>
      </c>
      <c r="J258" s="1">
        <v>51</v>
      </c>
      <c r="K258" s="1">
        <v>51</v>
      </c>
      <c r="O258" s="253"/>
    </row>
    <row r="259" spans="5:15" x14ac:dyDescent="0.25">
      <c r="E259" s="1">
        <v>50</v>
      </c>
      <c r="F259" s="1">
        <v>50</v>
      </c>
      <c r="G259" s="1">
        <v>50</v>
      </c>
      <c r="H259" s="247">
        <v>251</v>
      </c>
      <c r="I259" s="1">
        <v>80</v>
      </c>
      <c r="J259" s="1">
        <v>80</v>
      </c>
      <c r="K259" s="1">
        <v>80</v>
      </c>
      <c r="O259" s="253"/>
    </row>
    <row r="260" spans="5:15" x14ac:dyDescent="0.25">
      <c r="E260" s="1">
        <v>69</v>
      </c>
      <c r="F260" s="1">
        <v>69</v>
      </c>
      <c r="G260" s="1">
        <v>69</v>
      </c>
      <c r="H260" s="248">
        <v>252</v>
      </c>
      <c r="I260" s="1">
        <v>105</v>
      </c>
      <c r="J260" s="1">
        <v>105</v>
      </c>
      <c r="K260" s="1">
        <v>105</v>
      </c>
      <c r="O260" s="253"/>
    </row>
    <row r="261" spans="5:15" x14ac:dyDescent="0.25">
      <c r="E261" s="1">
        <v>82</v>
      </c>
      <c r="F261" s="1">
        <v>82</v>
      </c>
      <c r="G261" s="1">
        <v>82</v>
      </c>
      <c r="H261" s="249">
        <v>253</v>
      </c>
      <c r="I261" s="1">
        <v>130</v>
      </c>
      <c r="J261" s="1">
        <v>130</v>
      </c>
      <c r="K261" s="1">
        <v>130</v>
      </c>
      <c r="O261" s="253"/>
    </row>
    <row r="262" spans="5:15" x14ac:dyDescent="0.25">
      <c r="E262" s="1" t="s">
        <v>41</v>
      </c>
      <c r="F262" s="1" t="s">
        <v>41</v>
      </c>
      <c r="G262" s="1" t="s">
        <v>41</v>
      </c>
      <c r="H262" s="250">
        <v>254</v>
      </c>
      <c r="I262" s="1">
        <v>190</v>
      </c>
      <c r="J262" s="1">
        <v>190</v>
      </c>
      <c r="K262" s="1">
        <v>190</v>
      </c>
      <c r="O262" s="253"/>
    </row>
    <row r="263" spans="5:15" x14ac:dyDescent="0.25">
      <c r="E263" s="1" t="s">
        <v>21</v>
      </c>
      <c r="F263" s="1" t="s">
        <v>21</v>
      </c>
      <c r="G263" s="1" t="s">
        <v>21</v>
      </c>
      <c r="H263" s="9">
        <v>255</v>
      </c>
      <c r="I263" s="1">
        <v>255</v>
      </c>
      <c r="J263" s="1">
        <v>255</v>
      </c>
      <c r="K263" s="1">
        <v>255</v>
      </c>
      <c r="O263" s="253"/>
    </row>
  </sheetData>
  <pageMargins left="0.70866141732283472" right="0.70866141732283472" top="0.74803149606299213" bottom="0.74803149606299213" header="0.31496062992125984" footer="0.31496062992125984"/>
  <pageSetup paperSize="9" scale="6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4</vt:i4>
      </vt:variant>
      <vt:variant>
        <vt:lpstr>Nazwane zakresy</vt:lpstr>
      </vt:variant>
      <vt:variant>
        <vt:i4>1</vt:i4>
      </vt:variant>
    </vt:vector>
  </HeadingPairs>
  <TitlesOfParts>
    <vt:vector size="5" baseType="lpstr">
      <vt:lpstr>Parametry</vt:lpstr>
      <vt:lpstr>Przekroje</vt:lpstr>
      <vt:lpstr>Obliczenia i dane</vt:lpstr>
      <vt:lpstr>Dane AutoCad</vt:lpstr>
      <vt:lpstr>'Dane AutoCad'!Obszar_wydruku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Olszanecki</dc:creator>
  <cp:lastModifiedBy>Jakub Olszanecki</cp:lastModifiedBy>
  <cp:lastPrinted>2025-02-19T19:13:35Z</cp:lastPrinted>
  <dcterms:created xsi:type="dcterms:W3CDTF">2025-02-02T21:43:42Z</dcterms:created>
  <dcterms:modified xsi:type="dcterms:W3CDTF">2026-03-08T13:00:30Z</dcterms:modified>
</cp:coreProperties>
</file>